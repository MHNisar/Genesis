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shi\Saved Games\Extract\"/>
    </mc:Choice>
  </mc:AlternateContent>
  <xr:revisionPtr revIDLastSave="0" documentId="13_ncr:1_{5C664FBD-F8D7-4287-BD95-82E37B2F45AD}" xr6:coauthVersionLast="47" xr6:coauthVersionMax="47" xr10:uidLastSave="{00000000-0000-0000-0000-000000000000}"/>
  <bookViews>
    <workbookView xWindow="384" yWindow="384" windowWidth="17280" windowHeight="8880" xr2:uid="{5A2C9E9F-9A61-42D8-A252-B203083382C3}"/>
  </bookViews>
  <sheets>
    <sheet name="Historical" sheetId="9" r:id="rId1"/>
    <sheet name="Control" sheetId="4" r:id="rId2"/>
    <sheet name="r1" sheetId="5" r:id="rId3"/>
    <sheet name="Simulations" sheetId="8" r:id="rId4"/>
  </sheets>
  <definedNames>
    <definedName name="_xlchart.v1.0" hidden="1">Simulations!$B$2:$B$1001</definedName>
    <definedName name="_xlpm.baseReturn" hidden="1" xlm="1">#NAME?</definedName>
    <definedName name="_xlpm.dynamicFlo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7" i="9" l="1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2" i="9"/>
  <c r="C12" i="5"/>
  <c r="J15" i="9"/>
  <c r="C25" i="4" s="1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1003" i="8"/>
  <c r="C1004" i="8"/>
  <c r="C1005" i="8"/>
  <c r="C1006" i="8"/>
  <c r="C1007" i="8"/>
  <c r="C1008" i="8"/>
  <c r="C1009" i="8"/>
  <c r="C1010" i="8"/>
  <c r="C1011" i="8"/>
  <c r="C1012" i="8"/>
  <c r="C1013" i="8"/>
  <c r="C1014" i="8"/>
  <c r="C1015" i="8"/>
  <c r="C1016" i="8"/>
  <c r="C1017" i="8"/>
  <c r="C1018" i="8"/>
  <c r="C1019" i="8"/>
  <c r="C1020" i="8"/>
  <c r="C1021" i="8"/>
  <c r="C1022" i="8"/>
  <c r="C1023" i="8"/>
  <c r="C1024" i="8"/>
  <c r="C1025" i="8"/>
  <c r="C1026" i="8"/>
  <c r="C1027" i="8"/>
  <c r="C1028" i="8"/>
  <c r="C1029" i="8"/>
  <c r="C1030" i="8"/>
  <c r="C1031" i="8"/>
  <c r="C1032" i="8"/>
  <c r="C1033" i="8"/>
  <c r="C1034" i="8"/>
  <c r="C1035" i="8"/>
  <c r="C1036" i="8"/>
  <c r="C1037" i="8"/>
  <c r="C1038" i="8"/>
  <c r="C1039" i="8"/>
  <c r="C1040" i="8"/>
  <c r="C1041" i="8"/>
  <c r="C1042" i="8"/>
  <c r="C1043" i="8"/>
  <c r="C1044" i="8"/>
  <c r="C1045" i="8"/>
  <c r="C1046" i="8"/>
  <c r="C1047" i="8"/>
  <c r="C1048" i="8"/>
  <c r="C1049" i="8"/>
  <c r="C1050" i="8"/>
  <c r="C1051" i="8"/>
  <c r="C1052" i="8"/>
  <c r="C1053" i="8"/>
  <c r="C1054" i="8"/>
  <c r="C1055" i="8"/>
  <c r="C1056" i="8"/>
  <c r="C1057" i="8"/>
  <c r="C1058" i="8"/>
  <c r="C1059" i="8"/>
  <c r="C1060" i="8"/>
  <c r="C1061" i="8"/>
  <c r="C1062" i="8"/>
  <c r="C1063" i="8"/>
  <c r="C1064" i="8"/>
  <c r="C1065" i="8"/>
  <c r="C1066" i="8"/>
  <c r="C1067" i="8"/>
  <c r="C1068" i="8"/>
  <c r="C1069" i="8"/>
  <c r="C1070" i="8"/>
  <c r="C1071" i="8"/>
  <c r="C1072" i="8"/>
  <c r="C1073" i="8"/>
  <c r="C1074" i="8"/>
  <c r="C1075" i="8"/>
  <c r="C1076" i="8"/>
  <c r="C1077" i="8"/>
  <c r="C1078" i="8"/>
  <c r="C1079" i="8"/>
  <c r="C1080" i="8"/>
  <c r="C1081" i="8"/>
  <c r="C1082" i="8"/>
  <c r="C1083" i="8"/>
  <c r="C1084" i="8"/>
  <c r="C1085" i="8"/>
  <c r="C1086" i="8"/>
  <c r="C1087" i="8"/>
  <c r="C1088" i="8"/>
  <c r="C1089" i="8"/>
  <c r="C1090" i="8"/>
  <c r="C1091" i="8"/>
  <c r="C1092" i="8"/>
  <c r="C1093" i="8"/>
  <c r="C1094" i="8"/>
  <c r="C1095" i="8"/>
  <c r="C1096" i="8"/>
  <c r="C1097" i="8"/>
  <c r="C1098" i="8"/>
  <c r="C1099" i="8"/>
  <c r="C1100" i="8"/>
  <c r="C1101" i="8"/>
  <c r="C1102" i="8"/>
  <c r="C1103" i="8"/>
  <c r="C1104" i="8"/>
  <c r="C1105" i="8"/>
  <c r="C1106" i="8"/>
  <c r="C1107" i="8"/>
  <c r="C1108" i="8"/>
  <c r="C1109" i="8"/>
  <c r="C1110" i="8"/>
  <c r="C1111" i="8"/>
  <c r="C1112" i="8"/>
  <c r="C1113" i="8"/>
  <c r="C1114" i="8"/>
  <c r="C1115" i="8"/>
  <c r="C1116" i="8"/>
  <c r="C1117" i="8"/>
  <c r="C1118" i="8"/>
  <c r="C1119" i="8"/>
  <c r="C1120" i="8"/>
  <c r="C1121" i="8"/>
  <c r="C1122" i="8"/>
  <c r="C1123" i="8"/>
  <c r="C1124" i="8"/>
  <c r="C1125" i="8"/>
  <c r="C1126" i="8"/>
  <c r="C1127" i="8"/>
  <c r="C1128" i="8"/>
  <c r="C1129" i="8"/>
  <c r="C1130" i="8"/>
  <c r="C1131" i="8"/>
  <c r="C1132" i="8"/>
  <c r="C1133" i="8"/>
  <c r="C1134" i="8"/>
  <c r="C1135" i="8"/>
  <c r="C1136" i="8"/>
  <c r="C1137" i="8"/>
  <c r="C1138" i="8"/>
  <c r="C1139" i="8"/>
  <c r="C1140" i="8"/>
  <c r="C1141" i="8"/>
  <c r="C1142" i="8"/>
  <c r="C1143" i="8"/>
  <c r="C1144" i="8"/>
  <c r="C1145" i="8"/>
  <c r="C1146" i="8"/>
  <c r="C1147" i="8"/>
  <c r="C1148" i="8"/>
  <c r="C1149" i="8"/>
  <c r="C1150" i="8"/>
  <c r="C1151" i="8"/>
  <c r="C1152" i="8"/>
  <c r="C1153" i="8"/>
  <c r="C1154" i="8"/>
  <c r="C1155" i="8"/>
  <c r="C1156" i="8"/>
  <c r="C1157" i="8"/>
  <c r="C1158" i="8"/>
  <c r="C1159" i="8"/>
  <c r="C1160" i="8"/>
  <c r="C1161" i="8"/>
  <c r="C1162" i="8"/>
  <c r="C1163" i="8"/>
  <c r="C1164" i="8"/>
  <c r="C1165" i="8"/>
  <c r="C1166" i="8"/>
  <c r="C1167" i="8"/>
  <c r="C1168" i="8"/>
  <c r="C1169" i="8"/>
  <c r="C1170" i="8"/>
  <c r="C1171" i="8"/>
  <c r="C1172" i="8"/>
  <c r="C1173" i="8"/>
  <c r="C1174" i="8"/>
  <c r="C1175" i="8"/>
  <c r="C1176" i="8"/>
  <c r="C1177" i="8"/>
  <c r="C1178" i="8"/>
  <c r="C1179" i="8"/>
  <c r="C1180" i="8"/>
  <c r="C1181" i="8"/>
  <c r="C1182" i="8"/>
  <c r="C1183" i="8"/>
  <c r="C1184" i="8"/>
  <c r="C1185" i="8"/>
  <c r="C1186" i="8"/>
  <c r="C1187" i="8"/>
  <c r="C1188" i="8"/>
  <c r="C1189" i="8"/>
  <c r="C1190" i="8"/>
  <c r="C1191" i="8"/>
  <c r="C1192" i="8"/>
  <c r="C1193" i="8"/>
  <c r="C1194" i="8"/>
  <c r="C1195" i="8"/>
  <c r="C1196" i="8"/>
  <c r="C1197" i="8"/>
  <c r="C1198" i="8"/>
  <c r="C1199" i="8"/>
  <c r="C1200" i="8"/>
  <c r="C1201" i="8"/>
  <c r="C1202" i="8"/>
  <c r="C1203" i="8"/>
  <c r="C1204" i="8"/>
  <c r="C1205" i="8"/>
  <c r="C1206" i="8"/>
  <c r="C1207" i="8"/>
  <c r="C1208" i="8"/>
  <c r="C1209" i="8"/>
  <c r="C1210" i="8"/>
  <c r="C1211" i="8"/>
  <c r="C1212" i="8"/>
  <c r="C1213" i="8"/>
  <c r="C1214" i="8"/>
  <c r="C1215" i="8"/>
  <c r="C1216" i="8"/>
  <c r="C1217" i="8"/>
  <c r="C1218" i="8"/>
  <c r="C1219" i="8"/>
  <c r="C1220" i="8"/>
  <c r="C1221" i="8"/>
  <c r="C1222" i="8"/>
  <c r="C1223" i="8"/>
  <c r="C1224" i="8"/>
  <c r="C1225" i="8"/>
  <c r="C1226" i="8"/>
  <c r="C1227" i="8"/>
  <c r="C1228" i="8"/>
  <c r="C1229" i="8"/>
  <c r="C1230" i="8"/>
  <c r="C1231" i="8"/>
  <c r="C1232" i="8"/>
  <c r="C1233" i="8"/>
  <c r="C1234" i="8"/>
  <c r="C1235" i="8"/>
  <c r="C1236" i="8"/>
  <c r="C1237" i="8"/>
  <c r="C1238" i="8"/>
  <c r="C1239" i="8"/>
  <c r="C1240" i="8"/>
  <c r="C1241" i="8"/>
  <c r="C1242" i="8"/>
  <c r="C1243" i="8"/>
  <c r="C1244" i="8"/>
  <c r="C1245" i="8"/>
  <c r="C1246" i="8"/>
  <c r="C1247" i="8"/>
  <c r="C1248" i="8"/>
  <c r="C1249" i="8"/>
  <c r="C1250" i="8"/>
  <c r="C1251" i="8"/>
  <c r="C1252" i="8"/>
  <c r="C1253" i="8"/>
  <c r="C1254" i="8"/>
  <c r="C1255" i="8"/>
  <c r="C1256" i="8"/>
  <c r="C1257" i="8"/>
  <c r="C1258" i="8"/>
  <c r="C1259" i="8"/>
  <c r="C1260" i="8"/>
  <c r="C1261" i="8"/>
  <c r="C1262" i="8"/>
  <c r="C1263" i="8"/>
  <c r="C1264" i="8"/>
  <c r="C1265" i="8"/>
  <c r="C1266" i="8"/>
  <c r="C1267" i="8"/>
  <c r="C1268" i="8"/>
  <c r="C1269" i="8"/>
  <c r="C1270" i="8"/>
  <c r="C1271" i="8"/>
  <c r="C1272" i="8"/>
  <c r="C1273" i="8"/>
  <c r="C1274" i="8"/>
  <c r="C1275" i="8"/>
  <c r="C1276" i="8"/>
  <c r="C1277" i="8"/>
  <c r="C1278" i="8"/>
  <c r="C1279" i="8"/>
  <c r="C1280" i="8"/>
  <c r="C1281" i="8"/>
  <c r="C1282" i="8"/>
  <c r="C1283" i="8"/>
  <c r="C1284" i="8"/>
  <c r="C1285" i="8"/>
  <c r="C1286" i="8"/>
  <c r="C1287" i="8"/>
  <c r="C1288" i="8"/>
  <c r="C1289" i="8"/>
  <c r="C1290" i="8"/>
  <c r="C1291" i="8"/>
  <c r="C1292" i="8"/>
  <c r="C1293" i="8"/>
  <c r="C1294" i="8"/>
  <c r="C1295" i="8"/>
  <c r="C1296" i="8"/>
  <c r="C1297" i="8"/>
  <c r="C1298" i="8"/>
  <c r="C1299" i="8"/>
  <c r="C1300" i="8"/>
  <c r="C1301" i="8"/>
  <c r="C1302" i="8"/>
  <c r="C1303" i="8"/>
  <c r="C1304" i="8"/>
  <c r="C1305" i="8"/>
  <c r="C1306" i="8"/>
  <c r="C1307" i="8"/>
  <c r="C1308" i="8"/>
  <c r="C1309" i="8"/>
  <c r="C1310" i="8"/>
  <c r="C1311" i="8"/>
  <c r="C1312" i="8"/>
  <c r="C1313" i="8"/>
  <c r="C1314" i="8"/>
  <c r="C1315" i="8"/>
  <c r="C1316" i="8"/>
  <c r="C1317" i="8"/>
  <c r="C1318" i="8"/>
  <c r="C1319" i="8"/>
  <c r="C1320" i="8"/>
  <c r="C1321" i="8"/>
  <c r="C1322" i="8"/>
  <c r="C1323" i="8"/>
  <c r="C1324" i="8"/>
  <c r="C1325" i="8"/>
  <c r="C1326" i="8"/>
  <c r="C1327" i="8"/>
  <c r="C1328" i="8"/>
  <c r="C1329" i="8"/>
  <c r="C1330" i="8"/>
  <c r="C1331" i="8"/>
  <c r="C1332" i="8"/>
  <c r="C1333" i="8"/>
  <c r="C1334" i="8"/>
  <c r="C1335" i="8"/>
  <c r="C1336" i="8"/>
  <c r="C1337" i="8"/>
  <c r="C1338" i="8"/>
  <c r="C1339" i="8"/>
  <c r="C1340" i="8"/>
  <c r="C1341" i="8"/>
  <c r="C1342" i="8"/>
  <c r="C1343" i="8"/>
  <c r="C1344" i="8"/>
  <c r="C1345" i="8"/>
  <c r="C1346" i="8"/>
  <c r="C1347" i="8"/>
  <c r="C1348" i="8"/>
  <c r="C1349" i="8"/>
  <c r="C1350" i="8"/>
  <c r="C1351" i="8"/>
  <c r="C1352" i="8"/>
  <c r="C1353" i="8"/>
  <c r="C1354" i="8"/>
  <c r="C1355" i="8"/>
  <c r="C1356" i="8"/>
  <c r="C1357" i="8"/>
  <c r="C1358" i="8"/>
  <c r="C1359" i="8"/>
  <c r="C1360" i="8"/>
  <c r="C1361" i="8"/>
  <c r="C1362" i="8"/>
  <c r="C1363" i="8"/>
  <c r="C1364" i="8"/>
  <c r="C1365" i="8"/>
  <c r="C1366" i="8"/>
  <c r="C1367" i="8"/>
  <c r="C1368" i="8"/>
  <c r="C1369" i="8"/>
  <c r="C1370" i="8"/>
  <c r="C1371" i="8"/>
  <c r="C1372" i="8"/>
  <c r="C1373" i="8"/>
  <c r="C1374" i="8"/>
  <c r="C1375" i="8"/>
  <c r="C1376" i="8"/>
  <c r="C1377" i="8"/>
  <c r="C1378" i="8"/>
  <c r="C1379" i="8"/>
  <c r="C1380" i="8"/>
  <c r="C1381" i="8"/>
  <c r="C1382" i="8"/>
  <c r="C1383" i="8"/>
  <c r="C1384" i="8"/>
  <c r="C1385" i="8"/>
  <c r="C1386" i="8"/>
  <c r="C1387" i="8"/>
  <c r="C1388" i="8"/>
  <c r="C1389" i="8"/>
  <c r="C1390" i="8"/>
  <c r="C1391" i="8"/>
  <c r="C1392" i="8"/>
  <c r="C1393" i="8"/>
  <c r="C1394" i="8"/>
  <c r="C1395" i="8"/>
  <c r="C1396" i="8"/>
  <c r="C1397" i="8"/>
  <c r="C1398" i="8"/>
  <c r="C1399" i="8"/>
  <c r="C1400" i="8"/>
  <c r="C1401" i="8"/>
  <c r="C1402" i="8"/>
  <c r="C1403" i="8"/>
  <c r="C1404" i="8"/>
  <c r="C1405" i="8"/>
  <c r="C1406" i="8"/>
  <c r="C1407" i="8"/>
  <c r="C1408" i="8"/>
  <c r="C1409" i="8"/>
  <c r="C1410" i="8"/>
  <c r="C1411" i="8"/>
  <c r="C1412" i="8"/>
  <c r="C1413" i="8"/>
  <c r="C1414" i="8"/>
  <c r="C1415" i="8"/>
  <c r="C1416" i="8"/>
  <c r="C1417" i="8"/>
  <c r="C1418" i="8"/>
  <c r="C1419" i="8"/>
  <c r="C1420" i="8"/>
  <c r="C1421" i="8"/>
  <c r="C1422" i="8"/>
  <c r="C1423" i="8"/>
  <c r="C1424" i="8"/>
  <c r="C1425" i="8"/>
  <c r="C1426" i="8"/>
  <c r="C1427" i="8"/>
  <c r="C1428" i="8"/>
  <c r="C1429" i="8"/>
  <c r="C1430" i="8"/>
  <c r="C1431" i="8"/>
  <c r="C1432" i="8"/>
  <c r="C1433" i="8"/>
  <c r="C1434" i="8"/>
  <c r="C1435" i="8"/>
  <c r="C1436" i="8"/>
  <c r="C1437" i="8"/>
  <c r="C1438" i="8"/>
  <c r="C1439" i="8"/>
  <c r="C1440" i="8"/>
  <c r="C1441" i="8"/>
  <c r="C1442" i="8"/>
  <c r="C1443" i="8"/>
  <c r="C1444" i="8"/>
  <c r="C1445" i="8"/>
  <c r="C1446" i="8"/>
  <c r="C1447" i="8"/>
  <c r="C1448" i="8"/>
  <c r="C1449" i="8"/>
  <c r="C1450" i="8"/>
  <c r="C1451" i="8"/>
  <c r="C1452" i="8"/>
  <c r="C1453" i="8"/>
  <c r="C1454" i="8"/>
  <c r="C1455" i="8"/>
  <c r="C1456" i="8"/>
  <c r="C1457" i="8"/>
  <c r="C1458" i="8"/>
  <c r="C1459" i="8"/>
  <c r="C1460" i="8"/>
  <c r="C1461" i="8"/>
  <c r="C1462" i="8"/>
  <c r="C1463" i="8"/>
  <c r="C1464" i="8"/>
  <c r="C1465" i="8"/>
  <c r="C1466" i="8"/>
  <c r="C1467" i="8"/>
  <c r="C1468" i="8"/>
  <c r="C1469" i="8"/>
  <c r="C1470" i="8"/>
  <c r="C1471" i="8"/>
  <c r="C1472" i="8"/>
  <c r="C1473" i="8"/>
  <c r="C1474" i="8"/>
  <c r="C1475" i="8"/>
  <c r="C1476" i="8"/>
  <c r="C1477" i="8"/>
  <c r="C1478" i="8"/>
  <c r="C1479" i="8"/>
  <c r="C1480" i="8"/>
  <c r="C1481" i="8"/>
  <c r="C1482" i="8"/>
  <c r="C1483" i="8"/>
  <c r="C1484" i="8"/>
  <c r="C1485" i="8"/>
  <c r="C1486" i="8"/>
  <c r="C1487" i="8"/>
  <c r="C1488" i="8"/>
  <c r="C1489" i="8"/>
  <c r="C1490" i="8"/>
  <c r="C1491" i="8"/>
  <c r="C1492" i="8"/>
  <c r="C1493" i="8"/>
  <c r="C1494" i="8"/>
  <c r="C1495" i="8"/>
  <c r="C1496" i="8"/>
  <c r="C1497" i="8"/>
  <c r="C1498" i="8"/>
  <c r="C1499" i="8"/>
  <c r="C1500" i="8"/>
  <c r="C1501" i="8"/>
  <c r="C1502" i="8"/>
  <c r="C1503" i="8"/>
  <c r="C1504" i="8"/>
  <c r="C1505" i="8"/>
  <c r="C1506" i="8"/>
  <c r="C1507" i="8"/>
  <c r="C1508" i="8"/>
  <c r="C1509" i="8"/>
  <c r="C1510" i="8"/>
  <c r="C1511" i="8"/>
  <c r="C1512" i="8"/>
  <c r="C1513" i="8"/>
  <c r="C1514" i="8"/>
  <c r="C1515" i="8"/>
  <c r="C1516" i="8"/>
  <c r="C1517" i="8"/>
  <c r="C1518" i="8"/>
  <c r="C1519" i="8"/>
  <c r="C1520" i="8"/>
  <c r="C1521" i="8"/>
  <c r="C1522" i="8"/>
  <c r="C1523" i="8"/>
  <c r="C1524" i="8"/>
  <c r="C1525" i="8"/>
  <c r="C1526" i="8"/>
  <c r="C1527" i="8"/>
  <c r="C1528" i="8"/>
  <c r="C1529" i="8"/>
  <c r="C1530" i="8"/>
  <c r="C1531" i="8"/>
  <c r="C1532" i="8"/>
  <c r="C1533" i="8"/>
  <c r="C1534" i="8"/>
  <c r="C1535" i="8"/>
  <c r="C1536" i="8"/>
  <c r="C1537" i="8"/>
  <c r="C1538" i="8"/>
  <c r="C1539" i="8"/>
  <c r="C1540" i="8"/>
  <c r="C1541" i="8"/>
  <c r="C1542" i="8"/>
  <c r="C1543" i="8"/>
  <c r="C1544" i="8"/>
  <c r="C1545" i="8"/>
  <c r="C1546" i="8"/>
  <c r="C1547" i="8"/>
  <c r="C1548" i="8"/>
  <c r="C1549" i="8"/>
  <c r="C1550" i="8"/>
  <c r="C1551" i="8"/>
  <c r="C1552" i="8"/>
  <c r="C1553" i="8"/>
  <c r="C1554" i="8"/>
  <c r="C1555" i="8"/>
  <c r="C1556" i="8"/>
  <c r="C1557" i="8"/>
  <c r="C1558" i="8"/>
  <c r="C1559" i="8"/>
  <c r="C1560" i="8"/>
  <c r="C1561" i="8"/>
  <c r="C1562" i="8"/>
  <c r="C1563" i="8"/>
  <c r="C1564" i="8"/>
  <c r="C1565" i="8"/>
  <c r="C1566" i="8"/>
  <c r="C1567" i="8"/>
  <c r="C1568" i="8"/>
  <c r="C1569" i="8"/>
  <c r="C1570" i="8"/>
  <c r="C1571" i="8"/>
  <c r="C1572" i="8"/>
  <c r="C1573" i="8"/>
  <c r="C1574" i="8"/>
  <c r="C1575" i="8"/>
  <c r="C1576" i="8"/>
  <c r="C1577" i="8"/>
  <c r="C1578" i="8"/>
  <c r="C1579" i="8"/>
  <c r="C1580" i="8"/>
  <c r="C1581" i="8"/>
  <c r="C1582" i="8"/>
  <c r="C1583" i="8"/>
  <c r="C1584" i="8"/>
  <c r="C1585" i="8"/>
  <c r="C1586" i="8"/>
  <c r="C1587" i="8"/>
  <c r="C1588" i="8"/>
  <c r="C1589" i="8"/>
  <c r="C1590" i="8"/>
  <c r="C1591" i="8"/>
  <c r="C1592" i="8"/>
  <c r="C1593" i="8"/>
  <c r="C1594" i="8"/>
  <c r="C1595" i="8"/>
  <c r="C1596" i="8"/>
  <c r="C1597" i="8"/>
  <c r="C1598" i="8"/>
  <c r="C1599" i="8"/>
  <c r="C1600" i="8"/>
  <c r="C1601" i="8"/>
  <c r="C1602" i="8"/>
  <c r="C1603" i="8"/>
  <c r="C1604" i="8"/>
  <c r="C1605" i="8"/>
  <c r="C1606" i="8"/>
  <c r="C1607" i="8"/>
  <c r="C1608" i="8"/>
  <c r="C1609" i="8"/>
  <c r="C1610" i="8"/>
  <c r="C1611" i="8"/>
  <c r="C1612" i="8"/>
  <c r="C1613" i="8"/>
  <c r="C1614" i="8"/>
  <c r="C1615" i="8"/>
  <c r="C1616" i="8"/>
  <c r="C1617" i="8"/>
  <c r="C1618" i="8"/>
  <c r="C1619" i="8"/>
  <c r="C1620" i="8"/>
  <c r="C1621" i="8"/>
  <c r="C1622" i="8"/>
  <c r="C1623" i="8"/>
  <c r="C1624" i="8"/>
  <c r="C1625" i="8"/>
  <c r="C1626" i="8"/>
  <c r="C1627" i="8"/>
  <c r="C1628" i="8"/>
  <c r="C1629" i="8"/>
  <c r="C1630" i="8"/>
  <c r="C1631" i="8"/>
  <c r="C1632" i="8"/>
  <c r="C1633" i="8"/>
  <c r="C1634" i="8"/>
  <c r="C1635" i="8"/>
  <c r="C1636" i="8"/>
  <c r="C1637" i="8"/>
  <c r="C1638" i="8"/>
  <c r="C1639" i="8"/>
  <c r="C1640" i="8"/>
  <c r="C1641" i="8"/>
  <c r="C1642" i="8"/>
  <c r="C1643" i="8"/>
  <c r="C1644" i="8"/>
  <c r="C1645" i="8"/>
  <c r="C1646" i="8"/>
  <c r="C1647" i="8"/>
  <c r="C1648" i="8"/>
  <c r="C1649" i="8"/>
  <c r="C1650" i="8"/>
  <c r="C1651" i="8"/>
  <c r="C1652" i="8"/>
  <c r="C1653" i="8"/>
  <c r="C1654" i="8"/>
  <c r="C1655" i="8"/>
  <c r="C1656" i="8"/>
  <c r="C1657" i="8"/>
  <c r="C1658" i="8"/>
  <c r="C1659" i="8"/>
  <c r="C1660" i="8"/>
  <c r="C1661" i="8"/>
  <c r="C1662" i="8"/>
  <c r="C1663" i="8"/>
  <c r="C1664" i="8"/>
  <c r="C1665" i="8"/>
  <c r="C1666" i="8"/>
  <c r="C1667" i="8"/>
  <c r="C1668" i="8"/>
  <c r="C1669" i="8"/>
  <c r="C1670" i="8"/>
  <c r="C1671" i="8"/>
  <c r="C1672" i="8"/>
  <c r="C1673" i="8"/>
  <c r="C1674" i="8"/>
  <c r="C1675" i="8"/>
  <c r="C1676" i="8"/>
  <c r="C1677" i="8"/>
  <c r="C1678" i="8"/>
  <c r="C1679" i="8"/>
  <c r="C1680" i="8"/>
  <c r="C1681" i="8"/>
  <c r="C1682" i="8"/>
  <c r="C1683" i="8"/>
  <c r="C1684" i="8"/>
  <c r="C1685" i="8"/>
  <c r="C1686" i="8"/>
  <c r="C1687" i="8"/>
  <c r="C1688" i="8"/>
  <c r="C1689" i="8"/>
  <c r="C1690" i="8"/>
  <c r="C1691" i="8"/>
  <c r="C1692" i="8"/>
  <c r="C1693" i="8"/>
  <c r="C1694" i="8"/>
  <c r="C1695" i="8"/>
  <c r="C1696" i="8"/>
  <c r="C1697" i="8"/>
  <c r="C1698" i="8"/>
  <c r="C1699" i="8"/>
  <c r="C1700" i="8"/>
  <c r="C1701" i="8"/>
  <c r="C1702" i="8"/>
  <c r="C1703" i="8"/>
  <c r="C1704" i="8"/>
  <c r="C1705" i="8"/>
  <c r="C1706" i="8"/>
  <c r="C1707" i="8"/>
  <c r="C1708" i="8"/>
  <c r="C1709" i="8"/>
  <c r="C1710" i="8"/>
  <c r="C1711" i="8"/>
  <c r="C1712" i="8"/>
  <c r="C1713" i="8"/>
  <c r="C1714" i="8"/>
  <c r="C1715" i="8"/>
  <c r="C1716" i="8"/>
  <c r="C1717" i="8"/>
  <c r="C1718" i="8"/>
  <c r="C1719" i="8"/>
  <c r="C1720" i="8"/>
  <c r="C1721" i="8"/>
  <c r="C1722" i="8"/>
  <c r="C1723" i="8"/>
  <c r="C1724" i="8"/>
  <c r="C1725" i="8"/>
  <c r="C1726" i="8"/>
  <c r="C1727" i="8"/>
  <c r="C1728" i="8"/>
  <c r="C1729" i="8"/>
  <c r="C1730" i="8"/>
  <c r="C1731" i="8"/>
  <c r="C1732" i="8"/>
  <c r="C1733" i="8"/>
  <c r="C1734" i="8"/>
  <c r="C1735" i="8"/>
  <c r="C1736" i="8"/>
  <c r="C1737" i="8"/>
  <c r="C1738" i="8"/>
  <c r="C1739" i="8"/>
  <c r="C1740" i="8"/>
  <c r="C1741" i="8"/>
  <c r="C1742" i="8"/>
  <c r="C1743" i="8"/>
  <c r="C1744" i="8"/>
  <c r="C1745" i="8"/>
  <c r="C1746" i="8"/>
  <c r="C1747" i="8"/>
  <c r="C1748" i="8"/>
  <c r="C1749" i="8"/>
  <c r="C1750" i="8"/>
  <c r="C1751" i="8"/>
  <c r="C1752" i="8"/>
  <c r="C1753" i="8"/>
  <c r="C1754" i="8"/>
  <c r="C1755" i="8"/>
  <c r="C1756" i="8"/>
  <c r="C1757" i="8"/>
  <c r="C1758" i="8"/>
  <c r="C1759" i="8"/>
  <c r="C1760" i="8"/>
  <c r="C1761" i="8"/>
  <c r="C1762" i="8"/>
  <c r="C1763" i="8"/>
  <c r="C1764" i="8"/>
  <c r="C1765" i="8"/>
  <c r="C1766" i="8"/>
  <c r="C1767" i="8"/>
  <c r="C1768" i="8"/>
  <c r="C1769" i="8"/>
  <c r="C1770" i="8"/>
  <c r="C1771" i="8"/>
  <c r="C1772" i="8"/>
  <c r="C1773" i="8"/>
  <c r="C1774" i="8"/>
  <c r="C1775" i="8"/>
  <c r="C1776" i="8"/>
  <c r="C1777" i="8"/>
  <c r="C1778" i="8"/>
  <c r="C1779" i="8"/>
  <c r="C1780" i="8"/>
  <c r="C1781" i="8"/>
  <c r="C1782" i="8"/>
  <c r="C1783" i="8"/>
  <c r="C1784" i="8"/>
  <c r="C1785" i="8"/>
  <c r="C1786" i="8"/>
  <c r="C1787" i="8"/>
  <c r="C1788" i="8"/>
  <c r="C1789" i="8"/>
  <c r="C1790" i="8"/>
  <c r="C1791" i="8"/>
  <c r="C1792" i="8"/>
  <c r="C1793" i="8"/>
  <c r="C1794" i="8"/>
  <c r="C1795" i="8"/>
  <c r="C1796" i="8"/>
  <c r="C1797" i="8"/>
  <c r="C1798" i="8"/>
  <c r="C1799" i="8"/>
  <c r="C1800" i="8"/>
  <c r="C1801" i="8"/>
  <c r="C1802" i="8"/>
  <c r="C1803" i="8"/>
  <c r="C1804" i="8"/>
  <c r="C1805" i="8"/>
  <c r="C1806" i="8"/>
  <c r="C1807" i="8"/>
  <c r="C1808" i="8"/>
  <c r="C1809" i="8"/>
  <c r="C1810" i="8"/>
  <c r="C1811" i="8"/>
  <c r="C1812" i="8"/>
  <c r="C1813" i="8"/>
  <c r="C1814" i="8"/>
  <c r="C1815" i="8"/>
  <c r="C1816" i="8"/>
  <c r="C1817" i="8"/>
  <c r="C1818" i="8"/>
  <c r="C1819" i="8"/>
  <c r="C1820" i="8"/>
  <c r="C1821" i="8"/>
  <c r="C1822" i="8"/>
  <c r="C1823" i="8"/>
  <c r="C1824" i="8"/>
  <c r="C1825" i="8"/>
  <c r="C1826" i="8"/>
  <c r="C1827" i="8"/>
  <c r="C1828" i="8"/>
  <c r="C1829" i="8"/>
  <c r="C1830" i="8"/>
  <c r="C1831" i="8"/>
  <c r="C1832" i="8"/>
  <c r="C1833" i="8"/>
  <c r="C1834" i="8"/>
  <c r="C1835" i="8"/>
  <c r="C1836" i="8"/>
  <c r="C1837" i="8"/>
  <c r="C1838" i="8"/>
  <c r="C1839" i="8"/>
  <c r="C1840" i="8"/>
  <c r="C1841" i="8"/>
  <c r="C1842" i="8"/>
  <c r="C1843" i="8"/>
  <c r="C1844" i="8"/>
  <c r="C1845" i="8"/>
  <c r="C1846" i="8"/>
  <c r="C1847" i="8"/>
  <c r="C1848" i="8"/>
  <c r="C1849" i="8"/>
  <c r="C1850" i="8"/>
  <c r="C1851" i="8"/>
  <c r="C1852" i="8"/>
  <c r="C1853" i="8"/>
  <c r="C1854" i="8"/>
  <c r="C1855" i="8"/>
  <c r="C1856" i="8"/>
  <c r="C1857" i="8"/>
  <c r="C1858" i="8"/>
  <c r="C1859" i="8"/>
  <c r="C1860" i="8"/>
  <c r="C1861" i="8"/>
  <c r="C1862" i="8"/>
  <c r="C1863" i="8"/>
  <c r="C1864" i="8"/>
  <c r="C1865" i="8"/>
  <c r="C1866" i="8"/>
  <c r="C1867" i="8"/>
  <c r="C1868" i="8"/>
  <c r="C1869" i="8"/>
  <c r="C1870" i="8"/>
  <c r="C1871" i="8"/>
  <c r="C1872" i="8"/>
  <c r="C1873" i="8"/>
  <c r="C1874" i="8"/>
  <c r="C1875" i="8"/>
  <c r="C1876" i="8"/>
  <c r="C1877" i="8"/>
  <c r="C1878" i="8"/>
  <c r="C1879" i="8"/>
  <c r="C1880" i="8"/>
  <c r="C1881" i="8"/>
  <c r="C1882" i="8"/>
  <c r="C1883" i="8"/>
  <c r="C1884" i="8"/>
  <c r="C1885" i="8"/>
  <c r="C1886" i="8"/>
  <c r="C1887" i="8"/>
  <c r="C1888" i="8"/>
  <c r="C1889" i="8"/>
  <c r="C1890" i="8"/>
  <c r="C1891" i="8"/>
  <c r="C1892" i="8"/>
  <c r="C1893" i="8"/>
  <c r="C1894" i="8"/>
  <c r="C1895" i="8"/>
  <c r="C1896" i="8"/>
  <c r="C1897" i="8"/>
  <c r="C1898" i="8"/>
  <c r="C1899" i="8"/>
  <c r="C1900" i="8"/>
  <c r="C1901" i="8"/>
  <c r="C1902" i="8"/>
  <c r="C1903" i="8"/>
  <c r="C1904" i="8"/>
  <c r="C1905" i="8"/>
  <c r="C1906" i="8"/>
  <c r="C1907" i="8"/>
  <c r="C1908" i="8"/>
  <c r="C1909" i="8"/>
  <c r="C1910" i="8"/>
  <c r="C1911" i="8"/>
  <c r="C1912" i="8"/>
  <c r="C1913" i="8"/>
  <c r="C1914" i="8"/>
  <c r="C1915" i="8"/>
  <c r="C1916" i="8"/>
  <c r="C1917" i="8"/>
  <c r="C1918" i="8"/>
  <c r="C1919" i="8"/>
  <c r="C1920" i="8"/>
  <c r="C1921" i="8"/>
  <c r="C1922" i="8"/>
  <c r="C1923" i="8"/>
  <c r="C1924" i="8"/>
  <c r="C1925" i="8"/>
  <c r="C1926" i="8"/>
  <c r="C1927" i="8"/>
  <c r="C1928" i="8"/>
  <c r="C1929" i="8"/>
  <c r="C1930" i="8"/>
  <c r="C1931" i="8"/>
  <c r="C1932" i="8"/>
  <c r="C1933" i="8"/>
  <c r="C1934" i="8"/>
  <c r="C1935" i="8"/>
  <c r="C1936" i="8"/>
  <c r="C1937" i="8"/>
  <c r="C1938" i="8"/>
  <c r="C1939" i="8"/>
  <c r="C1940" i="8"/>
  <c r="C1941" i="8"/>
  <c r="C1942" i="8"/>
  <c r="C1943" i="8"/>
  <c r="C1944" i="8"/>
  <c r="C1945" i="8"/>
  <c r="C1946" i="8"/>
  <c r="C1947" i="8"/>
  <c r="C1948" i="8"/>
  <c r="C1949" i="8"/>
  <c r="C1950" i="8"/>
  <c r="C1951" i="8"/>
  <c r="C1952" i="8"/>
  <c r="C1953" i="8"/>
  <c r="C1954" i="8"/>
  <c r="C1955" i="8"/>
  <c r="C1956" i="8"/>
  <c r="C1957" i="8"/>
  <c r="C1958" i="8"/>
  <c r="C1959" i="8"/>
  <c r="C1960" i="8"/>
  <c r="C1961" i="8"/>
  <c r="C1962" i="8"/>
  <c r="C1963" i="8"/>
  <c r="C1964" i="8"/>
  <c r="C1965" i="8"/>
  <c r="C1966" i="8"/>
  <c r="C1967" i="8"/>
  <c r="C1968" i="8"/>
  <c r="C1969" i="8"/>
  <c r="C1970" i="8"/>
  <c r="C1971" i="8"/>
  <c r="C1972" i="8"/>
  <c r="C1973" i="8"/>
  <c r="C1974" i="8"/>
  <c r="C1975" i="8"/>
  <c r="C1976" i="8"/>
  <c r="C1977" i="8"/>
  <c r="C1978" i="8"/>
  <c r="C1979" i="8"/>
  <c r="C1980" i="8"/>
  <c r="C1981" i="8"/>
  <c r="C1982" i="8"/>
  <c r="C1983" i="8"/>
  <c r="C1984" i="8"/>
  <c r="C1985" i="8"/>
  <c r="C1986" i="8"/>
  <c r="C1987" i="8"/>
  <c r="C1988" i="8"/>
  <c r="C1989" i="8"/>
  <c r="C1990" i="8"/>
  <c r="C1991" i="8"/>
  <c r="C1992" i="8"/>
  <c r="C1993" i="8"/>
  <c r="C1994" i="8"/>
  <c r="C1995" i="8"/>
  <c r="C1996" i="8"/>
  <c r="C1997" i="8"/>
  <c r="C1998" i="8"/>
  <c r="C1999" i="8"/>
  <c r="C2000" i="8"/>
  <c r="C2001" i="8"/>
  <c r="C2002" i="8"/>
  <c r="C2003" i="8"/>
  <c r="C2004" i="8"/>
  <c r="C2005" i="8"/>
  <c r="C2006" i="8"/>
  <c r="C2007" i="8"/>
  <c r="C2008" i="8"/>
  <c r="C2009" i="8"/>
  <c r="C2010" i="8"/>
  <c r="C2011" i="8"/>
  <c r="C2012" i="8"/>
  <c r="C2013" i="8"/>
  <c r="C2014" i="8"/>
  <c r="C2015" i="8"/>
  <c r="C2016" i="8"/>
  <c r="C2017" i="8"/>
  <c r="C2018" i="8"/>
  <c r="C2019" i="8"/>
  <c r="C2020" i="8"/>
  <c r="C2021" i="8"/>
  <c r="C2022" i="8"/>
  <c r="C2023" i="8"/>
  <c r="C2024" i="8"/>
  <c r="C2025" i="8"/>
  <c r="C2026" i="8"/>
  <c r="C2027" i="8"/>
  <c r="C2028" i="8"/>
  <c r="C2029" i="8"/>
  <c r="C2030" i="8"/>
  <c r="C2031" i="8"/>
  <c r="C2032" i="8"/>
  <c r="C2033" i="8"/>
  <c r="C2034" i="8"/>
  <c r="C2035" i="8"/>
  <c r="C2036" i="8"/>
  <c r="C2037" i="8"/>
  <c r="C2038" i="8"/>
  <c r="C2039" i="8"/>
  <c r="C2040" i="8"/>
  <c r="C2041" i="8"/>
  <c r="C2042" i="8"/>
  <c r="C2043" i="8"/>
  <c r="C2044" i="8"/>
  <c r="C2045" i="8"/>
  <c r="C2046" i="8"/>
  <c r="C2047" i="8"/>
  <c r="C2048" i="8"/>
  <c r="C2049" i="8"/>
  <c r="C2050" i="8"/>
  <c r="C2051" i="8"/>
  <c r="C2052" i="8"/>
  <c r="C2053" i="8"/>
  <c r="C2054" i="8"/>
  <c r="C2055" i="8"/>
  <c r="C2056" i="8"/>
  <c r="C2057" i="8"/>
  <c r="C2058" i="8"/>
  <c r="C2059" i="8"/>
  <c r="C2060" i="8"/>
  <c r="C2061" i="8"/>
  <c r="C2062" i="8"/>
  <c r="C2063" i="8"/>
  <c r="C2064" i="8"/>
  <c r="C2065" i="8"/>
  <c r="C2066" i="8"/>
  <c r="C2067" i="8"/>
  <c r="C2068" i="8"/>
  <c r="C2069" i="8"/>
  <c r="C2070" i="8"/>
  <c r="C2071" i="8"/>
  <c r="C2072" i="8"/>
  <c r="C2073" i="8"/>
  <c r="C2074" i="8"/>
  <c r="C2075" i="8"/>
  <c r="C2076" i="8"/>
  <c r="C2077" i="8"/>
  <c r="C2078" i="8"/>
  <c r="C2079" i="8"/>
  <c r="C2080" i="8"/>
  <c r="C2081" i="8"/>
  <c r="C2082" i="8"/>
  <c r="C2083" i="8"/>
  <c r="C2084" i="8"/>
  <c r="C2085" i="8"/>
  <c r="C2086" i="8"/>
  <c r="C2087" i="8"/>
  <c r="C2088" i="8"/>
  <c r="C2089" i="8"/>
  <c r="C2090" i="8"/>
  <c r="C2091" i="8"/>
  <c r="C2092" i="8"/>
  <c r="C2093" i="8"/>
  <c r="C2094" i="8"/>
  <c r="C2095" i="8"/>
  <c r="C2096" i="8"/>
  <c r="C2097" i="8"/>
  <c r="C2098" i="8"/>
  <c r="C2099" i="8"/>
  <c r="C2100" i="8"/>
  <c r="C2101" i="8"/>
  <c r="C2102" i="8"/>
  <c r="C2103" i="8"/>
  <c r="C2104" i="8"/>
  <c r="C2105" i="8"/>
  <c r="C2106" i="8"/>
  <c r="C2107" i="8"/>
  <c r="C2108" i="8"/>
  <c r="C2109" i="8"/>
  <c r="C2110" i="8"/>
  <c r="C2111" i="8"/>
  <c r="C2112" i="8"/>
  <c r="C2113" i="8"/>
  <c r="C2114" i="8"/>
  <c r="C2115" i="8"/>
  <c r="C2116" i="8"/>
  <c r="C2117" i="8"/>
  <c r="C2118" i="8"/>
  <c r="C2119" i="8"/>
  <c r="C2120" i="8"/>
  <c r="C2121" i="8"/>
  <c r="C2122" i="8"/>
  <c r="C2123" i="8"/>
  <c r="C2124" i="8"/>
  <c r="C2125" i="8"/>
  <c r="C2126" i="8"/>
  <c r="C2127" i="8"/>
  <c r="C2128" i="8"/>
  <c r="C2129" i="8"/>
  <c r="C2130" i="8"/>
  <c r="C2131" i="8"/>
  <c r="C2132" i="8"/>
  <c r="C2133" i="8"/>
  <c r="C2134" i="8"/>
  <c r="C2135" i="8"/>
  <c r="C2136" i="8"/>
  <c r="C2137" i="8"/>
  <c r="C2138" i="8"/>
  <c r="C2139" i="8"/>
  <c r="C2140" i="8"/>
  <c r="C2141" i="8"/>
  <c r="C2142" i="8"/>
  <c r="C2143" i="8"/>
  <c r="C2144" i="8"/>
  <c r="C2145" i="8"/>
  <c r="C2146" i="8"/>
  <c r="C2147" i="8"/>
  <c r="C2148" i="8"/>
  <c r="C2149" i="8"/>
  <c r="C2150" i="8"/>
  <c r="C2151" i="8"/>
  <c r="C2152" i="8"/>
  <c r="C2153" i="8"/>
  <c r="C2154" i="8"/>
  <c r="C2155" i="8"/>
  <c r="C2156" i="8"/>
  <c r="C2157" i="8"/>
  <c r="C2158" i="8"/>
  <c r="C2159" i="8"/>
  <c r="C2160" i="8"/>
  <c r="C2161" i="8"/>
  <c r="C2162" i="8"/>
  <c r="C2163" i="8"/>
  <c r="C2164" i="8"/>
  <c r="C2165" i="8"/>
  <c r="C2166" i="8"/>
  <c r="C2167" i="8"/>
  <c r="C2168" i="8"/>
  <c r="C2169" i="8"/>
  <c r="C2170" i="8"/>
  <c r="C2171" i="8"/>
  <c r="C2172" i="8"/>
  <c r="C2173" i="8"/>
  <c r="C2174" i="8"/>
  <c r="C2175" i="8"/>
  <c r="C2176" i="8"/>
  <c r="C2177" i="8"/>
  <c r="C2178" i="8"/>
  <c r="C2179" i="8"/>
  <c r="C2180" i="8"/>
  <c r="C2181" i="8"/>
  <c r="C2182" i="8"/>
  <c r="C2183" i="8"/>
  <c r="C2184" i="8"/>
  <c r="C2185" i="8"/>
  <c r="C2186" i="8"/>
  <c r="C2187" i="8"/>
  <c r="C2188" i="8"/>
  <c r="C2189" i="8"/>
  <c r="C2190" i="8"/>
  <c r="C2191" i="8"/>
  <c r="C2192" i="8"/>
  <c r="C2193" i="8"/>
  <c r="C2194" i="8"/>
  <c r="C2195" i="8"/>
  <c r="C2196" i="8"/>
  <c r="C2197" i="8"/>
  <c r="C2198" i="8"/>
  <c r="C2199" i="8"/>
  <c r="C2200" i="8"/>
  <c r="C2201" i="8"/>
  <c r="C2202" i="8"/>
  <c r="C2203" i="8"/>
  <c r="C2204" i="8"/>
  <c r="C2205" i="8"/>
  <c r="C2206" i="8"/>
  <c r="C2207" i="8"/>
  <c r="C2208" i="8"/>
  <c r="C2209" i="8"/>
  <c r="C2210" i="8"/>
  <c r="C2211" i="8"/>
  <c r="C2212" i="8"/>
  <c r="C2213" i="8"/>
  <c r="C2214" i="8"/>
  <c r="C2215" i="8"/>
  <c r="C2216" i="8"/>
  <c r="C2217" i="8"/>
  <c r="C2218" i="8"/>
  <c r="C2219" i="8"/>
  <c r="C2220" i="8"/>
  <c r="C2221" i="8"/>
  <c r="C2222" i="8"/>
  <c r="C2223" i="8"/>
  <c r="C2224" i="8"/>
  <c r="C2225" i="8"/>
  <c r="C2226" i="8"/>
  <c r="C2227" i="8"/>
  <c r="C2228" i="8"/>
  <c r="C2229" i="8"/>
  <c r="C2230" i="8"/>
  <c r="C2231" i="8"/>
  <c r="C2232" i="8"/>
  <c r="C2233" i="8"/>
  <c r="C2234" i="8"/>
  <c r="C2235" i="8"/>
  <c r="C2236" i="8"/>
  <c r="C2237" i="8"/>
  <c r="C2238" i="8"/>
  <c r="C2239" i="8"/>
  <c r="C2240" i="8"/>
  <c r="C2241" i="8"/>
  <c r="C2242" i="8"/>
  <c r="C2243" i="8"/>
  <c r="C2244" i="8"/>
  <c r="C2245" i="8"/>
  <c r="C2246" i="8"/>
  <c r="C2247" i="8"/>
  <c r="C2248" i="8"/>
  <c r="C2249" i="8"/>
  <c r="C2250" i="8"/>
  <c r="C2251" i="8"/>
  <c r="C2252" i="8"/>
  <c r="C2253" i="8"/>
  <c r="C2254" i="8"/>
  <c r="C2255" i="8"/>
  <c r="C2256" i="8"/>
  <c r="C2257" i="8"/>
  <c r="C2258" i="8"/>
  <c r="C2259" i="8"/>
  <c r="C2260" i="8"/>
  <c r="C2261" i="8"/>
  <c r="C2262" i="8"/>
  <c r="C2263" i="8"/>
  <c r="C2264" i="8"/>
  <c r="C2265" i="8"/>
  <c r="C2266" i="8"/>
  <c r="C2267" i="8"/>
  <c r="C2268" i="8"/>
  <c r="C2269" i="8"/>
  <c r="C2270" i="8"/>
  <c r="C2271" i="8"/>
  <c r="C2272" i="8"/>
  <c r="C2273" i="8"/>
  <c r="C2274" i="8"/>
  <c r="C2275" i="8"/>
  <c r="C2276" i="8"/>
  <c r="C2277" i="8"/>
  <c r="C2278" i="8"/>
  <c r="C2279" i="8"/>
  <c r="C2280" i="8"/>
  <c r="C2281" i="8"/>
  <c r="C2282" i="8"/>
  <c r="C2283" i="8"/>
  <c r="C2284" i="8"/>
  <c r="C2285" i="8"/>
  <c r="C2286" i="8"/>
  <c r="C2287" i="8"/>
  <c r="C2288" i="8"/>
  <c r="C2289" i="8"/>
  <c r="C2290" i="8"/>
  <c r="C2291" i="8"/>
  <c r="C2292" i="8"/>
  <c r="C2293" i="8"/>
  <c r="C2294" i="8"/>
  <c r="C2295" i="8"/>
  <c r="C2296" i="8"/>
  <c r="C2297" i="8"/>
  <c r="C2298" i="8"/>
  <c r="C2299" i="8"/>
  <c r="C2300" i="8"/>
  <c r="C2301" i="8"/>
  <c r="C2302" i="8"/>
  <c r="C2303" i="8"/>
  <c r="C2304" i="8"/>
  <c r="C2305" i="8"/>
  <c r="C2306" i="8"/>
  <c r="C2307" i="8"/>
  <c r="C2308" i="8"/>
  <c r="C2309" i="8"/>
  <c r="C2310" i="8"/>
  <c r="C2311" i="8"/>
  <c r="C2312" i="8"/>
  <c r="C2313" i="8"/>
  <c r="C2314" i="8"/>
  <c r="C2315" i="8"/>
  <c r="C2316" i="8"/>
  <c r="C2317" i="8"/>
  <c r="C2318" i="8"/>
  <c r="C2319" i="8"/>
  <c r="C2320" i="8"/>
  <c r="C2321" i="8"/>
  <c r="C2322" i="8"/>
  <c r="C2323" i="8"/>
  <c r="C2324" i="8"/>
  <c r="C2325" i="8"/>
  <c r="C2326" i="8"/>
  <c r="C2327" i="8"/>
  <c r="C2328" i="8"/>
  <c r="C2329" i="8"/>
  <c r="C2330" i="8"/>
  <c r="C2331" i="8"/>
  <c r="C2332" i="8"/>
  <c r="C2333" i="8"/>
  <c r="C2334" i="8"/>
  <c r="C2335" i="8"/>
  <c r="C2336" i="8"/>
  <c r="C2337" i="8"/>
  <c r="C2338" i="8"/>
  <c r="C2339" i="8"/>
  <c r="C2340" i="8"/>
  <c r="C2341" i="8"/>
  <c r="C2342" i="8"/>
  <c r="C2343" i="8"/>
  <c r="C2344" i="8"/>
  <c r="C2345" i="8"/>
  <c r="C2346" i="8"/>
  <c r="C2347" i="8"/>
  <c r="C2348" i="8"/>
  <c r="C2349" i="8"/>
  <c r="C2350" i="8"/>
  <c r="C2351" i="8"/>
  <c r="C2352" i="8"/>
  <c r="C2353" i="8"/>
  <c r="C2354" i="8"/>
  <c r="C2355" i="8"/>
  <c r="C2356" i="8"/>
  <c r="C2357" i="8"/>
  <c r="C2358" i="8"/>
  <c r="C2359" i="8"/>
  <c r="C2360" i="8"/>
  <c r="C2361" i="8"/>
  <c r="C2362" i="8"/>
  <c r="C2363" i="8"/>
  <c r="C2364" i="8"/>
  <c r="C2365" i="8"/>
  <c r="C2366" i="8"/>
  <c r="C2367" i="8"/>
  <c r="C2368" i="8"/>
  <c r="C2369" i="8"/>
  <c r="C2370" i="8"/>
  <c r="C2371" i="8"/>
  <c r="C2372" i="8"/>
  <c r="C2373" i="8"/>
  <c r="C2374" i="8"/>
  <c r="C2375" i="8"/>
  <c r="C2376" i="8"/>
  <c r="C2377" i="8"/>
  <c r="C2378" i="8"/>
  <c r="C2379" i="8"/>
  <c r="C2380" i="8"/>
  <c r="C2381" i="8"/>
  <c r="C2382" i="8"/>
  <c r="C2383" i="8"/>
  <c r="C2384" i="8"/>
  <c r="C2385" i="8"/>
  <c r="C2386" i="8"/>
  <c r="C2387" i="8"/>
  <c r="C2388" i="8"/>
  <c r="C2389" i="8"/>
  <c r="C2390" i="8"/>
  <c r="C2391" i="8"/>
  <c r="C2392" i="8"/>
  <c r="C2393" i="8"/>
  <c r="C2394" i="8"/>
  <c r="C2395" i="8"/>
  <c r="C2396" i="8"/>
  <c r="C2397" i="8"/>
  <c r="C2398" i="8"/>
  <c r="C2399" i="8"/>
  <c r="C2400" i="8"/>
  <c r="C2401" i="8"/>
  <c r="C2402" i="8"/>
  <c r="C2403" i="8"/>
  <c r="C2404" i="8"/>
  <c r="C2405" i="8"/>
  <c r="C2406" i="8"/>
  <c r="C2407" i="8"/>
  <c r="C2408" i="8"/>
  <c r="C2409" i="8"/>
  <c r="C2410" i="8"/>
  <c r="C2411" i="8"/>
  <c r="C2412" i="8"/>
  <c r="C2413" i="8"/>
  <c r="C2414" i="8"/>
  <c r="C2415" i="8"/>
  <c r="C2416" i="8"/>
  <c r="C2417" i="8"/>
  <c r="C2418" i="8"/>
  <c r="C2419" i="8"/>
  <c r="C2420" i="8"/>
  <c r="C2421" i="8"/>
  <c r="C2422" i="8"/>
  <c r="C2423" i="8"/>
  <c r="C2424" i="8"/>
  <c r="C2425" i="8"/>
  <c r="C2426" i="8"/>
  <c r="C2427" i="8"/>
  <c r="C2428" i="8"/>
  <c r="C2429" i="8"/>
  <c r="C2430" i="8"/>
  <c r="C2431" i="8"/>
  <c r="C2432" i="8"/>
  <c r="C2433" i="8"/>
  <c r="C2434" i="8"/>
  <c r="C2435" i="8"/>
  <c r="C2436" i="8"/>
  <c r="C2437" i="8"/>
  <c r="C2438" i="8"/>
  <c r="C2439" i="8"/>
  <c r="C2440" i="8"/>
  <c r="C2441" i="8"/>
  <c r="C2442" i="8"/>
  <c r="C2443" i="8"/>
  <c r="C2444" i="8"/>
  <c r="C2445" i="8"/>
  <c r="C2446" i="8"/>
  <c r="C2447" i="8"/>
  <c r="C2448" i="8"/>
  <c r="C2449" i="8"/>
  <c r="C2450" i="8"/>
  <c r="C2451" i="8"/>
  <c r="C2452" i="8"/>
  <c r="C2453" i="8"/>
  <c r="C2454" i="8"/>
  <c r="C2455" i="8"/>
  <c r="C2456" i="8"/>
  <c r="C2457" i="8"/>
  <c r="C2458" i="8"/>
  <c r="C2459" i="8"/>
  <c r="C2460" i="8"/>
  <c r="C2461" i="8"/>
  <c r="C2462" i="8"/>
  <c r="C2463" i="8"/>
  <c r="C2464" i="8"/>
  <c r="C2465" i="8"/>
  <c r="C2466" i="8"/>
  <c r="C2467" i="8"/>
  <c r="C2468" i="8"/>
  <c r="C2469" i="8"/>
  <c r="C2470" i="8"/>
  <c r="C2471" i="8"/>
  <c r="C2472" i="8"/>
  <c r="C2473" i="8"/>
  <c r="C2474" i="8"/>
  <c r="C2475" i="8"/>
  <c r="C2476" i="8"/>
  <c r="C2477" i="8"/>
  <c r="C2478" i="8"/>
  <c r="C2479" i="8"/>
  <c r="C2480" i="8"/>
  <c r="C2481" i="8"/>
  <c r="C2482" i="8"/>
  <c r="C2483" i="8"/>
  <c r="C2484" i="8"/>
  <c r="C2485" i="8"/>
  <c r="C2486" i="8"/>
  <c r="C2487" i="8"/>
  <c r="C2488" i="8"/>
  <c r="C2489" i="8"/>
  <c r="C2490" i="8"/>
  <c r="C2491" i="8"/>
  <c r="C2492" i="8"/>
  <c r="C2493" i="8"/>
  <c r="C2494" i="8"/>
  <c r="C2495" i="8"/>
  <c r="C2496" i="8"/>
  <c r="C2497" i="8"/>
  <c r="C2498" i="8"/>
  <c r="C2499" i="8"/>
  <c r="C2500" i="8"/>
  <c r="C2501" i="8"/>
  <c r="C2502" i="8"/>
  <c r="C2503" i="8"/>
  <c r="C2504" i="8"/>
  <c r="C2505" i="8"/>
  <c r="C2506" i="8"/>
  <c r="C2507" i="8"/>
  <c r="C2508" i="8"/>
  <c r="C2509" i="8"/>
  <c r="C2510" i="8"/>
  <c r="C2511" i="8"/>
  <c r="C2512" i="8"/>
  <c r="C2513" i="8"/>
  <c r="C2514" i="8"/>
  <c r="C2515" i="8"/>
  <c r="C2516" i="8"/>
  <c r="C2517" i="8"/>
  <c r="C2518" i="8"/>
  <c r="C2519" i="8"/>
  <c r="C2520" i="8"/>
  <c r="C2521" i="8"/>
  <c r="C2522" i="8"/>
  <c r="C2523" i="8"/>
  <c r="C2524" i="8"/>
  <c r="C2525" i="8"/>
  <c r="C2526" i="8"/>
  <c r="C2527" i="8"/>
  <c r="C2528" i="8"/>
  <c r="C2529" i="8"/>
  <c r="C2530" i="8"/>
  <c r="C2531" i="8"/>
  <c r="C2532" i="8"/>
  <c r="C2533" i="8"/>
  <c r="C2534" i="8"/>
  <c r="C2535" i="8"/>
  <c r="C2536" i="8"/>
  <c r="C2537" i="8"/>
  <c r="C2538" i="8"/>
  <c r="C2539" i="8"/>
  <c r="C2540" i="8"/>
  <c r="C2541" i="8"/>
  <c r="C2542" i="8"/>
  <c r="C2543" i="8"/>
  <c r="C2544" i="8"/>
  <c r="C2545" i="8"/>
  <c r="C2546" i="8"/>
  <c r="C2547" i="8"/>
  <c r="C2548" i="8"/>
  <c r="C2549" i="8"/>
  <c r="C2550" i="8"/>
  <c r="C2551" i="8"/>
  <c r="C2552" i="8"/>
  <c r="C2553" i="8"/>
  <c r="C2554" i="8"/>
  <c r="C2555" i="8"/>
  <c r="C2556" i="8"/>
  <c r="C2557" i="8"/>
  <c r="C2558" i="8"/>
  <c r="C2559" i="8"/>
  <c r="C2560" i="8"/>
  <c r="C2561" i="8"/>
  <c r="C2562" i="8"/>
  <c r="C2563" i="8"/>
  <c r="C2564" i="8"/>
  <c r="C2565" i="8"/>
  <c r="C2566" i="8"/>
  <c r="C2567" i="8"/>
  <c r="C2568" i="8"/>
  <c r="C2569" i="8"/>
  <c r="C2570" i="8"/>
  <c r="C2571" i="8"/>
  <c r="C2572" i="8"/>
  <c r="C2573" i="8"/>
  <c r="C2574" i="8"/>
  <c r="C2575" i="8"/>
  <c r="C2576" i="8"/>
  <c r="C2577" i="8"/>
  <c r="C2578" i="8"/>
  <c r="C2579" i="8"/>
  <c r="C2580" i="8"/>
  <c r="C2581" i="8"/>
  <c r="C2582" i="8"/>
  <c r="C2583" i="8"/>
  <c r="C2584" i="8"/>
  <c r="C2585" i="8"/>
  <c r="C2586" i="8"/>
  <c r="C2587" i="8"/>
  <c r="C2588" i="8"/>
  <c r="C2589" i="8"/>
  <c r="C2590" i="8"/>
  <c r="C2591" i="8"/>
  <c r="C2592" i="8"/>
  <c r="C2593" i="8"/>
  <c r="C2594" i="8"/>
  <c r="C2595" i="8"/>
  <c r="C2596" i="8"/>
  <c r="C2597" i="8"/>
  <c r="C2598" i="8"/>
  <c r="C2599" i="8"/>
  <c r="C2600" i="8"/>
  <c r="C2601" i="8"/>
  <c r="C2602" i="8"/>
  <c r="C2603" i="8"/>
  <c r="C2604" i="8"/>
  <c r="C2605" i="8"/>
  <c r="C2606" i="8"/>
  <c r="C2607" i="8"/>
  <c r="C2608" i="8"/>
  <c r="C2609" i="8"/>
  <c r="C2610" i="8"/>
  <c r="C2611" i="8"/>
  <c r="C2612" i="8"/>
  <c r="C2613" i="8"/>
  <c r="C2614" i="8"/>
  <c r="C2615" i="8"/>
  <c r="C2616" i="8"/>
  <c r="C2617" i="8"/>
  <c r="C2618" i="8"/>
  <c r="C2619" i="8"/>
  <c r="C2620" i="8"/>
  <c r="C2621" i="8"/>
  <c r="C2622" i="8"/>
  <c r="C2623" i="8"/>
  <c r="C2624" i="8"/>
  <c r="C2625" i="8"/>
  <c r="C2626" i="8"/>
  <c r="C2627" i="8"/>
  <c r="C2628" i="8"/>
  <c r="C2629" i="8"/>
  <c r="C2630" i="8"/>
  <c r="C2631" i="8"/>
  <c r="C2632" i="8"/>
  <c r="C2633" i="8"/>
  <c r="C2634" i="8"/>
  <c r="C2635" i="8"/>
  <c r="C2636" i="8"/>
  <c r="C2637" i="8"/>
  <c r="C2638" i="8"/>
  <c r="C2639" i="8"/>
  <c r="C2640" i="8"/>
  <c r="C2641" i="8"/>
  <c r="C2642" i="8"/>
  <c r="C2643" i="8"/>
  <c r="C2644" i="8"/>
  <c r="C2645" i="8"/>
  <c r="C2646" i="8"/>
  <c r="C2647" i="8"/>
  <c r="C2648" i="8"/>
  <c r="C2649" i="8"/>
  <c r="C2650" i="8"/>
  <c r="C2651" i="8"/>
  <c r="C2652" i="8"/>
  <c r="C2653" i="8"/>
  <c r="C2654" i="8"/>
  <c r="C2655" i="8"/>
  <c r="C2656" i="8"/>
  <c r="C2657" i="8"/>
  <c r="C2658" i="8"/>
  <c r="C2659" i="8"/>
  <c r="C2660" i="8"/>
  <c r="C2661" i="8"/>
  <c r="C2662" i="8"/>
  <c r="C2663" i="8"/>
  <c r="C2664" i="8"/>
  <c r="C2665" i="8"/>
  <c r="C2666" i="8"/>
  <c r="C2667" i="8"/>
  <c r="C2668" i="8"/>
  <c r="C2669" i="8"/>
  <c r="C2670" i="8"/>
  <c r="C2671" i="8"/>
  <c r="C2672" i="8"/>
  <c r="C2673" i="8"/>
  <c r="C2674" i="8"/>
  <c r="C2675" i="8"/>
  <c r="C2676" i="8"/>
  <c r="C2677" i="8"/>
  <c r="C2678" i="8"/>
  <c r="C2679" i="8"/>
  <c r="C2680" i="8"/>
  <c r="C2681" i="8"/>
  <c r="C2682" i="8"/>
  <c r="C2683" i="8"/>
  <c r="C2684" i="8"/>
  <c r="C2685" i="8"/>
  <c r="C2686" i="8"/>
  <c r="C2687" i="8"/>
  <c r="C2688" i="8"/>
  <c r="C2689" i="8"/>
  <c r="C2690" i="8"/>
  <c r="C2691" i="8"/>
  <c r="C2692" i="8"/>
  <c r="C2693" i="8"/>
  <c r="C2694" i="8"/>
  <c r="C2695" i="8"/>
  <c r="C2696" i="8"/>
  <c r="C2697" i="8"/>
  <c r="C2698" i="8"/>
  <c r="C2699" i="8"/>
  <c r="C2700" i="8"/>
  <c r="C2701" i="8"/>
  <c r="C2702" i="8"/>
  <c r="C2703" i="8"/>
  <c r="C2704" i="8"/>
  <c r="C2705" i="8"/>
  <c r="C2706" i="8"/>
  <c r="C2707" i="8"/>
  <c r="C2708" i="8"/>
  <c r="C2709" i="8"/>
  <c r="C2710" i="8"/>
  <c r="C2711" i="8"/>
  <c r="C2712" i="8"/>
  <c r="C2713" i="8"/>
  <c r="C2714" i="8"/>
  <c r="C2715" i="8"/>
  <c r="C2716" i="8"/>
  <c r="C2717" i="8"/>
  <c r="C2718" i="8"/>
  <c r="C2719" i="8"/>
  <c r="C2720" i="8"/>
  <c r="C2721" i="8"/>
  <c r="C2722" i="8"/>
  <c r="C2723" i="8"/>
  <c r="C2724" i="8"/>
  <c r="C2725" i="8"/>
  <c r="C2726" i="8"/>
  <c r="C2727" i="8"/>
  <c r="C2728" i="8"/>
  <c r="C2729" i="8"/>
  <c r="C2730" i="8"/>
  <c r="C2731" i="8"/>
  <c r="C2732" i="8"/>
  <c r="C2733" i="8"/>
  <c r="C2734" i="8"/>
  <c r="C2735" i="8"/>
  <c r="C2736" i="8"/>
  <c r="C2737" i="8"/>
  <c r="C2738" i="8"/>
  <c r="C2739" i="8"/>
  <c r="C2740" i="8"/>
  <c r="C2741" i="8"/>
  <c r="C2742" i="8"/>
  <c r="C2743" i="8"/>
  <c r="C2744" i="8"/>
  <c r="C2745" i="8"/>
  <c r="C2746" i="8"/>
  <c r="C2747" i="8"/>
  <c r="C2748" i="8"/>
  <c r="C2749" i="8"/>
  <c r="C2750" i="8"/>
  <c r="C2751" i="8"/>
  <c r="C2752" i="8"/>
  <c r="C2753" i="8"/>
  <c r="C2754" i="8"/>
  <c r="C2755" i="8"/>
  <c r="C2756" i="8"/>
  <c r="C2757" i="8"/>
  <c r="C2758" i="8"/>
  <c r="C2759" i="8"/>
  <c r="C2760" i="8"/>
  <c r="C2761" i="8"/>
  <c r="C2762" i="8"/>
  <c r="C2763" i="8"/>
  <c r="C2764" i="8"/>
  <c r="C2765" i="8"/>
  <c r="C2766" i="8"/>
  <c r="C2767" i="8"/>
  <c r="C2768" i="8"/>
  <c r="C2769" i="8"/>
  <c r="C2770" i="8"/>
  <c r="C2771" i="8"/>
  <c r="C2772" i="8"/>
  <c r="C2773" i="8"/>
  <c r="C2774" i="8"/>
  <c r="C2775" i="8"/>
  <c r="C2776" i="8"/>
  <c r="C2777" i="8"/>
  <c r="C2778" i="8"/>
  <c r="C2779" i="8"/>
  <c r="C2780" i="8"/>
  <c r="C2781" i="8"/>
  <c r="C2782" i="8"/>
  <c r="C2783" i="8"/>
  <c r="C2784" i="8"/>
  <c r="C2785" i="8"/>
  <c r="C2786" i="8"/>
  <c r="C2787" i="8"/>
  <c r="C2788" i="8"/>
  <c r="C2789" i="8"/>
  <c r="C2790" i="8"/>
  <c r="C2791" i="8"/>
  <c r="C2792" i="8"/>
  <c r="C2793" i="8"/>
  <c r="C2794" i="8"/>
  <c r="C2795" i="8"/>
  <c r="C2796" i="8"/>
  <c r="C2797" i="8"/>
  <c r="C2798" i="8"/>
  <c r="C2799" i="8"/>
  <c r="C2800" i="8"/>
  <c r="C2801" i="8"/>
  <c r="C2802" i="8"/>
  <c r="C2803" i="8"/>
  <c r="C2804" i="8"/>
  <c r="C2805" i="8"/>
  <c r="C2806" i="8"/>
  <c r="C2807" i="8"/>
  <c r="C2808" i="8"/>
  <c r="C2809" i="8"/>
  <c r="C2810" i="8"/>
  <c r="C2811" i="8"/>
  <c r="C2812" i="8"/>
  <c r="C2813" i="8"/>
  <c r="C2814" i="8"/>
  <c r="C2815" i="8"/>
  <c r="C2816" i="8"/>
  <c r="C2817" i="8"/>
  <c r="C2818" i="8"/>
  <c r="C2819" i="8"/>
  <c r="C2820" i="8"/>
  <c r="C2821" i="8"/>
  <c r="C2822" i="8"/>
  <c r="C2823" i="8"/>
  <c r="C2824" i="8"/>
  <c r="C2825" i="8"/>
  <c r="C2826" i="8"/>
  <c r="C2827" i="8"/>
  <c r="C2828" i="8"/>
  <c r="C2829" i="8"/>
  <c r="C2830" i="8"/>
  <c r="C2831" i="8"/>
  <c r="C2832" i="8"/>
  <c r="C2833" i="8"/>
  <c r="C2834" i="8"/>
  <c r="C2835" i="8"/>
  <c r="C2836" i="8"/>
  <c r="C2837" i="8"/>
  <c r="C2838" i="8"/>
  <c r="C2839" i="8"/>
  <c r="C2840" i="8"/>
  <c r="C2841" i="8"/>
  <c r="C2842" i="8"/>
  <c r="C2843" i="8"/>
  <c r="C2844" i="8"/>
  <c r="C2845" i="8"/>
  <c r="C2846" i="8"/>
  <c r="C2847" i="8"/>
  <c r="C2848" i="8"/>
  <c r="C2849" i="8"/>
  <c r="C2850" i="8"/>
  <c r="C2851" i="8"/>
  <c r="C2852" i="8"/>
  <c r="C2853" i="8"/>
  <c r="C2854" i="8"/>
  <c r="C2855" i="8"/>
  <c r="C2856" i="8"/>
  <c r="C2857" i="8"/>
  <c r="C2858" i="8"/>
  <c r="C2859" i="8"/>
  <c r="C2860" i="8"/>
  <c r="C2861" i="8"/>
  <c r="C2862" i="8"/>
  <c r="C2863" i="8"/>
  <c r="C2864" i="8"/>
  <c r="C2865" i="8"/>
  <c r="C2866" i="8"/>
  <c r="C2867" i="8"/>
  <c r="C2868" i="8"/>
  <c r="C2869" i="8"/>
  <c r="C2870" i="8"/>
  <c r="C2871" i="8"/>
  <c r="C2872" i="8"/>
  <c r="C2873" i="8"/>
  <c r="C2874" i="8"/>
  <c r="C2875" i="8"/>
  <c r="C2876" i="8"/>
  <c r="C2877" i="8"/>
  <c r="C2878" i="8"/>
  <c r="C2879" i="8"/>
  <c r="C2880" i="8"/>
  <c r="C2881" i="8"/>
  <c r="C2882" i="8"/>
  <c r="C2883" i="8"/>
  <c r="C2884" i="8"/>
  <c r="C2885" i="8"/>
  <c r="C2886" i="8"/>
  <c r="C2887" i="8"/>
  <c r="C2888" i="8"/>
  <c r="C2889" i="8"/>
  <c r="C2890" i="8"/>
  <c r="C2891" i="8"/>
  <c r="C2892" i="8"/>
  <c r="C2893" i="8"/>
  <c r="C2894" i="8"/>
  <c r="C2895" i="8"/>
  <c r="C2896" i="8"/>
  <c r="C2897" i="8"/>
  <c r="C2898" i="8"/>
  <c r="C2899" i="8"/>
  <c r="C2900" i="8"/>
  <c r="C2901" i="8"/>
  <c r="C2902" i="8"/>
  <c r="C2903" i="8"/>
  <c r="C2904" i="8"/>
  <c r="C2905" i="8"/>
  <c r="C2906" i="8"/>
  <c r="C2907" i="8"/>
  <c r="C2908" i="8"/>
  <c r="C2909" i="8"/>
  <c r="C2910" i="8"/>
  <c r="C2911" i="8"/>
  <c r="C2912" i="8"/>
  <c r="C2913" i="8"/>
  <c r="C2914" i="8"/>
  <c r="C2915" i="8"/>
  <c r="C2916" i="8"/>
  <c r="C2917" i="8"/>
  <c r="C2918" i="8"/>
  <c r="C2919" i="8"/>
  <c r="C2920" i="8"/>
  <c r="C2921" i="8"/>
  <c r="C2922" i="8"/>
  <c r="C2923" i="8"/>
  <c r="C2924" i="8"/>
  <c r="C2925" i="8"/>
  <c r="C2926" i="8"/>
  <c r="C2927" i="8"/>
  <c r="C2928" i="8"/>
  <c r="C2929" i="8"/>
  <c r="C2930" i="8"/>
  <c r="C2931" i="8"/>
  <c r="C2932" i="8"/>
  <c r="C2933" i="8"/>
  <c r="C2934" i="8"/>
  <c r="C2935" i="8"/>
  <c r="C2936" i="8"/>
  <c r="C2937" i="8"/>
  <c r="C2938" i="8"/>
  <c r="C2939" i="8"/>
  <c r="C2940" i="8"/>
  <c r="C2941" i="8"/>
  <c r="C2942" i="8"/>
  <c r="C2943" i="8"/>
  <c r="C2944" i="8"/>
  <c r="C2945" i="8"/>
  <c r="C2946" i="8"/>
  <c r="C2947" i="8"/>
  <c r="C2948" i="8"/>
  <c r="C2949" i="8"/>
  <c r="C2950" i="8"/>
  <c r="C2951" i="8"/>
  <c r="C2952" i="8"/>
  <c r="C2953" i="8"/>
  <c r="C2954" i="8"/>
  <c r="C2955" i="8"/>
  <c r="C2956" i="8"/>
  <c r="C2957" i="8"/>
  <c r="C2958" i="8"/>
  <c r="C2959" i="8"/>
  <c r="C2960" i="8"/>
  <c r="C2961" i="8"/>
  <c r="C2962" i="8"/>
  <c r="C2963" i="8"/>
  <c r="C2964" i="8"/>
  <c r="C2965" i="8"/>
  <c r="C2966" i="8"/>
  <c r="C2967" i="8"/>
  <c r="C2968" i="8"/>
  <c r="C2969" i="8"/>
  <c r="C2970" i="8"/>
  <c r="C2971" i="8"/>
  <c r="C2972" i="8"/>
  <c r="C2973" i="8"/>
  <c r="C2974" i="8"/>
  <c r="C2975" i="8"/>
  <c r="C2976" i="8"/>
  <c r="C2977" i="8"/>
  <c r="C2978" i="8"/>
  <c r="C2979" i="8"/>
  <c r="C2980" i="8"/>
  <c r="C2981" i="8"/>
  <c r="C2982" i="8"/>
  <c r="C2983" i="8"/>
  <c r="C2984" i="8"/>
  <c r="C2985" i="8"/>
  <c r="C2986" i="8"/>
  <c r="C2987" i="8"/>
  <c r="C2988" i="8"/>
  <c r="C2989" i="8"/>
  <c r="C2990" i="8"/>
  <c r="C2991" i="8"/>
  <c r="C2992" i="8"/>
  <c r="C2993" i="8"/>
  <c r="C2994" i="8"/>
  <c r="C2995" i="8"/>
  <c r="C2996" i="8"/>
  <c r="C2997" i="8"/>
  <c r="C2998" i="8"/>
  <c r="C2999" i="8"/>
  <c r="C3000" i="8"/>
  <c r="C3001" i="8"/>
  <c r="J2" i="9"/>
  <c r="J3" i="9"/>
  <c r="J12" i="9" s="1"/>
  <c r="I3" i="5"/>
  <c r="F4" i="5"/>
  <c r="F3" i="5"/>
  <c r="L12" i="5" s="1"/>
  <c r="D41" i="5"/>
  <c r="D40" i="5"/>
  <c r="D39" i="5"/>
  <c r="D38" i="5"/>
  <c r="D37" i="5"/>
  <c r="D36" i="5"/>
  <c r="D35" i="5"/>
  <c r="D34" i="5"/>
  <c r="D33" i="5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8" i="4"/>
  <c r="I4" i="5" s="1"/>
  <c r="J13" i="9" l="1" a="1"/>
  <c r="J13" i="9" s="1"/>
  <c r="C15" i="4" s="1"/>
  <c r="L8" i="5" s="1"/>
  <c r="K12" i="5"/>
  <c r="M12" i="5" s="1"/>
  <c r="O12" i="5" s="1"/>
  <c r="J6" i="9"/>
  <c r="C18" i="4" s="1"/>
  <c r="F7" i="5" s="1"/>
  <c r="J9" i="9"/>
  <c r="C22" i="4" s="1"/>
  <c r="I7" i="5" s="1"/>
  <c r="J10" i="9" a="1"/>
  <c r="J10" i="9" s="1"/>
  <c r="C23" i="4" s="1"/>
  <c r="I8" i="5" s="1"/>
  <c r="C14" i="4"/>
  <c r="L7" i="5" s="1"/>
  <c r="J7" i="9" a="1"/>
  <c r="J7" i="9" s="1"/>
  <c r="C19" i="4" s="1"/>
  <c r="F8" i="5" s="1"/>
  <c r="E13" i="5" l="1"/>
  <c r="J13" i="5" s="1"/>
  <c r="K13" i="5" s="1"/>
  <c r="E17" i="5"/>
  <c r="E21" i="5"/>
  <c r="E25" i="5"/>
  <c r="E29" i="5"/>
  <c r="E33" i="5"/>
  <c r="E37" i="5"/>
  <c r="E41" i="5"/>
  <c r="E19" i="5"/>
  <c r="E27" i="5"/>
  <c r="E31" i="5"/>
  <c r="E39" i="5"/>
  <c r="E20" i="5"/>
  <c r="E24" i="5"/>
  <c r="E32" i="5"/>
  <c r="E40" i="5"/>
  <c r="E14" i="5"/>
  <c r="E18" i="5"/>
  <c r="E22" i="5"/>
  <c r="E26" i="5"/>
  <c r="E30" i="5"/>
  <c r="E34" i="5"/>
  <c r="E38" i="5"/>
  <c r="E12" i="5"/>
  <c r="E15" i="5"/>
  <c r="E23" i="5"/>
  <c r="E35" i="5"/>
  <c r="E16" i="5"/>
  <c r="E28" i="5"/>
  <c r="E36" i="5"/>
  <c r="F12" i="5"/>
  <c r="F18" i="5"/>
  <c r="F34" i="5"/>
  <c r="F36" i="5"/>
  <c r="F25" i="5"/>
  <c r="F19" i="5"/>
  <c r="F35" i="5"/>
  <c r="F32" i="5"/>
  <c r="F22" i="5"/>
  <c r="F38" i="5"/>
  <c r="F40" i="5"/>
  <c r="F33" i="5"/>
  <c r="F23" i="5"/>
  <c r="F39" i="5"/>
  <c r="F17" i="5"/>
  <c r="F26" i="5"/>
  <c r="F20" i="5"/>
  <c r="F13" i="5"/>
  <c r="F37" i="5"/>
  <c r="F27" i="5"/>
  <c r="F16" i="5"/>
  <c r="F29" i="5"/>
  <c r="F14" i="5"/>
  <c r="F30" i="5"/>
  <c r="F28" i="5"/>
  <c r="F21" i="5"/>
  <c r="F15" i="5"/>
  <c r="F31" i="5"/>
  <c r="F24" i="5"/>
  <c r="F41" i="5"/>
  <c r="G14" i="5" l="1"/>
  <c r="H14" i="5" s="1"/>
  <c r="G12" i="5"/>
  <c r="H12" i="5" s="1"/>
  <c r="G13" i="5"/>
  <c r="H13" i="5" s="1"/>
  <c r="G15" i="5"/>
  <c r="H15" i="5" s="1"/>
  <c r="G16" i="5"/>
  <c r="H16" i="5" s="1"/>
  <c r="J14" i="5"/>
  <c r="K14" i="5" s="1"/>
  <c r="I15" i="5" l="1"/>
  <c r="I16" i="5"/>
  <c r="I12" i="5"/>
  <c r="N12" i="5" s="1"/>
  <c r="P12" i="5" s="1"/>
  <c r="I13" i="5"/>
  <c r="I14" i="5"/>
  <c r="J15" i="5"/>
  <c r="K15" i="5" s="1"/>
  <c r="L13" i="5" l="1"/>
  <c r="J16" i="5"/>
  <c r="K16" i="5" s="1"/>
  <c r="M13" i="5" l="1"/>
  <c r="O13" i="5" s="1"/>
  <c r="G17" i="5"/>
  <c r="H17" i="5" s="1"/>
  <c r="I17" i="5" s="1"/>
  <c r="N13" i="5" l="1"/>
  <c r="P13" i="5" s="1"/>
  <c r="J17" i="5"/>
  <c r="K17" i="5" s="1"/>
  <c r="L14" i="5" l="1"/>
  <c r="M14" i="5" s="1"/>
  <c r="O14" i="5" s="1"/>
  <c r="G18" i="5"/>
  <c r="H18" i="5" s="1"/>
  <c r="I18" i="5" s="1"/>
  <c r="N14" i="5" l="1"/>
  <c r="P14" i="5" s="1"/>
  <c r="J18" i="5"/>
  <c r="L15" i="5" l="1"/>
  <c r="K18" i="5"/>
  <c r="M15" i="5" l="1"/>
  <c r="O15" i="5" s="1"/>
  <c r="N15" i="5" l="1"/>
  <c r="P15" i="5" s="1"/>
  <c r="G19" i="5"/>
  <c r="H19" i="5" s="1"/>
  <c r="I19" i="5" s="1"/>
  <c r="J19" i="5"/>
  <c r="L16" i="5" l="1"/>
  <c r="M16" i="5" s="1"/>
  <c r="G20" i="5"/>
  <c r="H20" i="5" s="1"/>
  <c r="I20" i="5" s="1"/>
  <c r="K19" i="5"/>
  <c r="J20" i="5"/>
  <c r="K20" i="5" l="1"/>
  <c r="O16" i="5"/>
  <c r="N16" i="5"/>
  <c r="P16" i="5" l="1"/>
  <c r="L17" i="5"/>
  <c r="M17" i="5" l="1"/>
  <c r="O17" i="5" s="1"/>
  <c r="N17" i="5" l="1"/>
  <c r="G21" i="5"/>
  <c r="H21" i="5" s="1"/>
  <c r="I21" i="5" s="1"/>
  <c r="J21" i="5"/>
  <c r="K21" i="5" l="1"/>
  <c r="P17" i="5"/>
  <c r="L18" i="5"/>
  <c r="M18" i="5" l="1"/>
  <c r="O18" i="5" s="1"/>
  <c r="N18" i="5" l="1"/>
  <c r="G22" i="5"/>
  <c r="H22" i="5" s="1"/>
  <c r="I22" i="5" s="1"/>
  <c r="J22" i="5"/>
  <c r="P18" i="5" l="1"/>
  <c r="L19" i="5"/>
  <c r="K22" i="5"/>
  <c r="M19" i="5" l="1"/>
  <c r="O19" i="5" s="1"/>
  <c r="G23" i="5" l="1"/>
  <c r="H23" i="5" s="1"/>
  <c r="I23" i="5" s="1"/>
  <c r="J23" i="5"/>
  <c r="N19" i="5"/>
  <c r="P19" i="5" l="1"/>
  <c r="L20" i="5"/>
  <c r="K23" i="5"/>
  <c r="M20" i="5" l="1"/>
  <c r="O20" i="5" s="1"/>
  <c r="J24" i="5" l="1"/>
  <c r="K24" i="5" s="1"/>
  <c r="G24" i="5"/>
  <c r="H24" i="5" s="1"/>
  <c r="I24" i="5" s="1"/>
  <c r="N20" i="5"/>
  <c r="P20" i="5" l="1"/>
  <c r="L21" i="5"/>
  <c r="M21" i="5" l="1"/>
  <c r="O21" i="5" s="1"/>
  <c r="N21" i="5" l="1"/>
  <c r="P21" i="5" s="1"/>
  <c r="G25" i="5"/>
  <c r="H25" i="5" s="1"/>
  <c r="I25" i="5" s="1"/>
  <c r="J25" i="5"/>
  <c r="L22" i="5" l="1"/>
  <c r="M22" i="5" s="1"/>
  <c r="K25" i="5"/>
  <c r="G26" i="5"/>
  <c r="H26" i="5" s="1"/>
  <c r="I26" i="5" s="1"/>
  <c r="N22" i="5" l="1"/>
  <c r="L23" i="5" s="1"/>
  <c r="O22" i="5"/>
  <c r="J26" i="5"/>
  <c r="M23" i="5" l="1"/>
  <c r="O23" i="5" s="1"/>
  <c r="G27" i="5"/>
  <c r="H27" i="5" s="1"/>
  <c r="I27" i="5" s="1"/>
  <c r="K26" i="5"/>
  <c r="P22" i="5"/>
  <c r="N23" i="5" l="1"/>
  <c r="P23" i="5" s="1"/>
  <c r="J27" i="5"/>
  <c r="L24" i="5" l="1"/>
  <c r="M24" i="5" s="1"/>
  <c r="O24" i="5" s="1"/>
  <c r="K27" i="5"/>
  <c r="G28" i="5"/>
  <c r="H28" i="5" s="1"/>
  <c r="I28" i="5" s="1"/>
  <c r="J28" i="5" l="1"/>
  <c r="N24" i="5"/>
  <c r="K28" i="5" l="1"/>
  <c r="P24" i="5"/>
  <c r="L25" i="5"/>
  <c r="M25" i="5" l="1"/>
  <c r="O25" i="5" s="1"/>
  <c r="N25" i="5" l="1"/>
  <c r="P25" i="5" s="1"/>
  <c r="G29" i="5"/>
  <c r="H29" i="5" s="1"/>
  <c r="I29" i="5" s="1"/>
  <c r="J29" i="5"/>
  <c r="L26" i="5" l="1"/>
  <c r="M26" i="5" s="1"/>
  <c r="O26" i="5" s="1"/>
  <c r="K29" i="5"/>
  <c r="G30" i="5"/>
  <c r="H30" i="5" s="1"/>
  <c r="I30" i="5" s="1"/>
  <c r="J30" i="5" l="1"/>
  <c r="N26" i="5"/>
  <c r="L27" i="5" l="1"/>
  <c r="P26" i="5"/>
  <c r="K30" i="5"/>
  <c r="M27" i="5" l="1"/>
  <c r="O27" i="5" s="1"/>
  <c r="G31" i="5" l="1"/>
  <c r="H31" i="5" s="1"/>
  <c r="I31" i="5" s="1"/>
  <c r="J31" i="5"/>
  <c r="N27" i="5"/>
  <c r="P27" i="5" l="1"/>
  <c r="L28" i="5"/>
  <c r="K31" i="5"/>
  <c r="M28" i="5" l="1"/>
  <c r="O28" i="5" s="1"/>
  <c r="G32" i="5" l="1"/>
  <c r="H32" i="5" s="1"/>
  <c r="I32" i="5" s="1"/>
  <c r="J32" i="5"/>
  <c r="N28" i="5"/>
  <c r="L29" i="5" l="1"/>
  <c r="P28" i="5"/>
  <c r="K32" i="5"/>
  <c r="M29" i="5" l="1"/>
  <c r="O29" i="5" s="1"/>
  <c r="G33" i="5" l="1"/>
  <c r="H33" i="5" s="1"/>
  <c r="I33" i="5" s="1"/>
  <c r="J33" i="5"/>
  <c r="N29" i="5"/>
  <c r="K33" i="5" l="1"/>
  <c r="L30" i="5"/>
  <c r="P29" i="5"/>
  <c r="M30" i="5" l="1"/>
  <c r="O30" i="5" s="1"/>
  <c r="N30" i="5" l="1"/>
  <c r="P30" i="5" s="1"/>
  <c r="G34" i="5"/>
  <c r="H34" i="5" s="1"/>
  <c r="I34" i="5" s="1"/>
  <c r="J34" i="5"/>
  <c r="L31" i="5" l="1"/>
  <c r="M31" i="5" s="1"/>
  <c r="O31" i="5" s="1"/>
  <c r="K34" i="5"/>
  <c r="G35" i="5"/>
  <c r="H35" i="5" s="1"/>
  <c r="I35" i="5" s="1"/>
  <c r="J35" i="5" l="1"/>
  <c r="N31" i="5"/>
  <c r="P31" i="5" l="1"/>
  <c r="L32" i="5"/>
  <c r="K35" i="5"/>
  <c r="M32" i="5" l="1"/>
  <c r="O32" i="5" s="1"/>
  <c r="N32" i="5" l="1"/>
  <c r="L33" i="5" s="1"/>
  <c r="G36" i="5"/>
  <c r="H36" i="5" s="1"/>
  <c r="I36" i="5" s="1"/>
  <c r="J36" i="5"/>
  <c r="P32" i="5" l="1"/>
  <c r="M33" i="5"/>
  <c r="O33" i="5" s="1"/>
  <c r="G37" i="5"/>
  <c r="H37" i="5" s="1"/>
  <c r="I37" i="5" s="1"/>
  <c r="K36" i="5"/>
  <c r="N33" i="5" l="1"/>
  <c r="P33" i="5" s="1"/>
  <c r="J37" i="5"/>
  <c r="L34" i="5" l="1"/>
  <c r="M34" i="5" s="1"/>
  <c r="O34" i="5" s="1"/>
  <c r="K37" i="5"/>
  <c r="G38" i="5"/>
  <c r="H38" i="5" s="1"/>
  <c r="I38" i="5" s="1"/>
  <c r="J38" i="5" l="1"/>
  <c r="N34" i="5"/>
  <c r="P34" i="5" l="1"/>
  <c r="L35" i="5"/>
  <c r="K38" i="5"/>
  <c r="M35" i="5" l="1"/>
  <c r="O35" i="5" s="1"/>
  <c r="N35" i="5" l="1"/>
  <c r="P35" i="5" s="1"/>
  <c r="G39" i="5"/>
  <c r="H39" i="5" s="1"/>
  <c r="I39" i="5" s="1"/>
  <c r="J39" i="5"/>
  <c r="L36" i="5" l="1"/>
  <c r="M36" i="5" s="1"/>
  <c r="O36" i="5" s="1"/>
  <c r="K39" i="5"/>
  <c r="G40" i="5"/>
  <c r="H40" i="5" s="1"/>
  <c r="I40" i="5" s="1"/>
  <c r="J40" i="5" l="1"/>
  <c r="N36" i="5"/>
  <c r="P36" i="5" l="1"/>
  <c r="L37" i="5"/>
  <c r="K40" i="5"/>
  <c r="M37" i="5" l="1"/>
  <c r="O37" i="5" s="1"/>
  <c r="N37" i="5" l="1"/>
  <c r="L38" i="5" s="1"/>
  <c r="G41" i="5"/>
  <c r="H41" i="5" s="1"/>
  <c r="I41" i="5" s="1"/>
  <c r="J41" i="5"/>
  <c r="K41" i="5" s="1"/>
  <c r="P37" i="5" l="1"/>
  <c r="M38" i="5"/>
  <c r="O38" i="5" s="1"/>
  <c r="N38" i="5" l="1"/>
  <c r="P38" i="5" s="1"/>
  <c r="L39" i="5" l="1"/>
  <c r="M39" i="5" s="1"/>
  <c r="O39" i="5" s="1"/>
  <c r="N39" i="5" l="1"/>
  <c r="P39" i="5" s="1"/>
  <c r="L40" i="5" l="1"/>
  <c r="M40" i="5" s="1"/>
  <c r="O40" i="5" s="1"/>
  <c r="N40" i="5" l="1"/>
  <c r="P40" i="5" s="1"/>
  <c r="L41" i="5" l="1"/>
  <c r="M41" i="5" s="1"/>
  <c r="O41" i="5" s="1"/>
  <c r="N41" i="5" l="1"/>
  <c r="P41" i="5" s="1"/>
  <c r="I9" i="4" s="1"/>
  <c r="I8" i="4" l="1"/>
  <c r="B2" i="8" s="1"/>
  <c r="C2" i="8" s="1"/>
  <c r="F8" i="4" s="1"/>
  <c r="F17" i="4" l="1"/>
  <c r="F16" i="4"/>
  <c r="F18" i="4"/>
  <c r="F21" i="4"/>
  <c r="F11" i="4"/>
  <c r="F12" i="4"/>
  <c r="F20" i="4"/>
  <c r="F13" i="4"/>
  <c r="F19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<sst xmlns="http://schemas.openxmlformats.org/spreadsheetml/2006/main" count="173" uniqueCount="137">
  <si>
    <t>Starting Balance</t>
  </si>
  <si>
    <t>Stocks</t>
  </si>
  <si>
    <t>Year</t>
  </si>
  <si>
    <t>Median</t>
  </si>
  <si>
    <t>Percentile Table</t>
  </si>
  <si>
    <t>r1</t>
  </si>
  <si>
    <t>Mean (μ)</t>
  </si>
  <si>
    <t>SD (σ)</t>
  </si>
  <si>
    <t>Inflation (i)</t>
  </si>
  <si>
    <t xml:space="preserve">Bond weight </t>
  </si>
  <si>
    <t xml:space="preserve">Stock weight </t>
  </si>
  <si>
    <t>Bonds</t>
  </si>
  <si>
    <t>Stock Return</t>
  </si>
  <si>
    <t>z1</t>
  </si>
  <si>
    <t>z2</t>
  </si>
  <si>
    <t>Bond Return</t>
  </si>
  <si>
    <t>Portfolio Return</t>
  </si>
  <si>
    <t>Inflation rate</t>
  </si>
  <si>
    <t>Planned Withdrawal</t>
  </si>
  <si>
    <t>CIF</t>
  </si>
  <si>
    <t>Balance Start</t>
  </si>
  <si>
    <t>Balance End</t>
  </si>
  <si>
    <t>Actual Withdrawal</t>
  </si>
  <si>
    <t>Terminal Wealth</t>
  </si>
  <si>
    <t>Iteration</t>
  </si>
  <si>
    <t>10-Year Constant Maturity U.S. Treasuries - Market Yield (1962-2023)</t>
  </si>
  <si>
    <t>S&amp;P 500 Annual % Change (1962-2023)</t>
  </si>
  <si>
    <t>Inflation Rate</t>
  </si>
  <si>
    <t>Inflation</t>
  </si>
  <si>
    <t>START YEAR</t>
  </si>
  <si>
    <t>END YEAR</t>
  </si>
  <si>
    <t>Correlation</t>
  </si>
  <si>
    <t>RESULTS</t>
  </si>
  <si>
    <t>PARAMETERS</t>
  </si>
  <si>
    <t>Depletion Year</t>
  </si>
  <si>
    <t>Current Iteration:</t>
  </si>
  <si>
    <t>Pass Rate</t>
  </si>
  <si>
    <t>Portfolio Status</t>
  </si>
  <si>
    <t>CAPE ratio</t>
  </si>
  <si>
    <t>  27.08</t>
  </si>
  <si>
    <t>  22.31</t>
  </si>
  <si>
    <t>  16.71</t>
  </si>
  <si>
    <t>  9.31</t>
  </si>
  <si>
    <t>  8.73</t>
  </si>
  <si>
    <t>  13.03</t>
  </si>
  <si>
    <t>  11.50</t>
  </si>
  <si>
    <t>  17.09</t>
  </si>
  <si>
    <t>  21.62</t>
  </si>
  <si>
    <t>  13.51</t>
  </si>
  <si>
    <t>  15.60</t>
  </si>
  <si>
    <t>  16.38</t>
  </si>
  <si>
    <t>  13.90</t>
  </si>
  <si>
    <t>  10.10</t>
  </si>
  <si>
    <t>  10.15</t>
  </si>
  <si>
    <t>  11.05</t>
  </si>
  <si>
    <t>  11.96</t>
  </si>
  <si>
    <t>  15.62</t>
  </si>
  <si>
    <t>  11.47</t>
  </si>
  <si>
    <t>  10.42</t>
  </si>
  <si>
    <t>  10.25</t>
  </si>
  <si>
    <t>  10.75</t>
  </si>
  <si>
    <t>  11.90</t>
  </si>
  <si>
    <t>  12.53</t>
  </si>
  <si>
    <t>  13.01</t>
  </si>
  <si>
    <t>  12.00</t>
  </si>
  <si>
    <t>  15.99</t>
  </si>
  <si>
    <t>  18.29</t>
  </si>
  <si>
    <t>  16.72</t>
  </si>
  <si>
    <t>  13.79</t>
  </si>
  <si>
    <t>  17.98</t>
  </si>
  <si>
    <t>  18.34</t>
  </si>
  <si>
    <t>  18.47</t>
  </si>
  <si>
    <t>  21.20</t>
  </si>
  <si>
    <t>  19.26</t>
  </si>
  <si>
    <t>  21.63</t>
  </si>
  <si>
    <t>  23.27</t>
  </si>
  <si>
    <t>  24.06</t>
  </si>
  <si>
    <t>  20.43</t>
  </si>
  <si>
    <t>  21.51</t>
  </si>
  <si>
    <t>  21.19</t>
  </si>
  <si>
    <t>  16.46</t>
  </si>
  <si>
    <t>  17.26</t>
  </si>
  <si>
    <t>  18.71</t>
  </si>
  <si>
    <t>  13.53</t>
  </si>
  <si>
    <t>  8.92</t>
  </si>
  <si>
    <t>  11.19</t>
  </si>
  <si>
    <t>  11.44</t>
  </si>
  <si>
    <t>  9.24</t>
  </si>
  <si>
    <t>  9.26</t>
  </si>
  <si>
    <t>  8.85</t>
  </si>
  <si>
    <t>  7.39</t>
  </si>
  <si>
    <t>  8.76</t>
  </si>
  <si>
    <t>  9.89</t>
  </si>
  <si>
    <t>  10.00</t>
  </si>
  <si>
    <t>  11.72</t>
  </si>
  <si>
    <t>  14.92</t>
  </si>
  <si>
    <t>  15.09</t>
  </si>
  <si>
    <t>  17.05</t>
  </si>
  <si>
    <t>  15.61</t>
  </si>
  <si>
    <t>  19.77</t>
  </si>
  <si>
    <t>  20.32</t>
  </si>
  <si>
    <t>  21.41</t>
  </si>
  <si>
    <t>  20.22</t>
  </si>
  <si>
    <t>  24.76</t>
  </si>
  <si>
    <t>  28.33</t>
  </si>
  <si>
    <t>  32.86</t>
  </si>
  <si>
    <t>  40.57</t>
  </si>
  <si>
    <t>  43.77</t>
  </si>
  <si>
    <t>  36.98</t>
  </si>
  <si>
    <t>  30.28</t>
  </si>
  <si>
    <t>  22.90</t>
  </si>
  <si>
    <t>  27.66</t>
  </si>
  <si>
    <t>  26.59</t>
  </si>
  <si>
    <t>  26.47</t>
  </si>
  <si>
    <t>  27.21</t>
  </si>
  <si>
    <t>  24.02</t>
  </si>
  <si>
    <t>  15.17</t>
  </si>
  <si>
    <t>  20.53</t>
  </si>
  <si>
    <t>  22.98</t>
  </si>
  <si>
    <t>  21.21</t>
  </si>
  <si>
    <t>  21.90</t>
  </si>
  <si>
    <t>  24.86</t>
  </si>
  <si>
    <t>  26.49</t>
  </si>
  <si>
    <t>  24.21</t>
  </si>
  <si>
    <t>  28.06</t>
  </si>
  <si>
    <t>  33.31</t>
  </si>
  <si>
    <t>  28.38</t>
  </si>
  <si>
    <t>  30.99</t>
  </si>
  <si>
    <t>  34.51</t>
  </si>
  <si>
    <t>  36.94</t>
  </si>
  <si>
    <t>  28.34</t>
  </si>
  <si>
    <t>  31.97</t>
  </si>
  <si>
    <t>  37.14</t>
  </si>
  <si>
    <t>Starting CAPE</t>
  </si>
  <si>
    <t>Inflation Rate (LOG)</t>
  </si>
  <si>
    <t>Mean (μ) log</t>
  </si>
  <si>
    <t>SD (σ) log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</si>
</sst>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0.000%"/>
    <numFmt numFmtId="166" formatCode="0.0%"/>
  </numFmts>
  <fonts count="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color theme="1"/>
      <name val="Arial"/>
      <family val="2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3">
    <xf numFmtId="0" fontId="0" fillId="0" borderId="0" xfId="0"/>
    <xf numFmtId="8" fontId="0" fillId="0" borderId="0" xfId="0" applyNumberFormat="1"/>
    <xf numFmtId="10" fontId="0" fillId="0" borderId="0" xfId="0" applyNumberFormat="1"/>
    <xf numFmtId="6" fontId="0" fillId="0" borderId="0" xfId="0" applyNumberFormat="1"/>
    <xf numFmtId="9" fontId="0" fillId="0" borderId="0" xfId="0" applyNumberFormat="1"/>
    <xf numFmtId="10" fontId="0" fillId="0" borderId="0" xfId="2" applyNumberFormat="1" applyFont="1"/>
    <xf numFmtId="164" fontId="0" fillId="0" borderId="0" xfId="1" applyNumberFormat="1" applyFont="1"/>
    <xf numFmtId="16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applyFont="1"/>
    <xf numFmtId="0" fontId="4" fillId="0" borderId="0" xfId="0" applyFont="1"/>
    <xf numFmtId="0" fontId="0" fillId="0" borderId="5" xfId="0" applyBorder="1"/>
    <xf numFmtId="9" fontId="2" fillId="0" borderId="6" xfId="0" applyNumberFormat="1" applyFont="1" applyBorder="1"/>
    <xf numFmtId="0" fontId="0" fillId="0" borderId="2" xfId="0" applyBorder="1"/>
    <xf numFmtId="6" fontId="0" fillId="0" borderId="7" xfId="0" applyNumberFormat="1" applyBorder="1"/>
    <xf numFmtId="0" fontId="0" fillId="0" borderId="1" xfId="0" applyBorder="1"/>
    <xf numFmtId="166" fontId="0" fillId="0" borderId="8" xfId="0" applyNumberFormat="1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10" fontId="2" fillId="0" borderId="9" xfId="0" applyNumberFormat="1" applyFont="1" applyBorder="1" applyAlignment="1">
      <alignment horizontal="right"/>
    </xf>
    <xf numFmtId="10" fontId="2" fillId="0" borderId="8" xfId="0" applyNumberFormat="1" applyFont="1" applyBorder="1" applyAlignment="1">
      <alignment horizontal="right"/>
    </xf>
    <xf numFmtId="10" fontId="0" fillId="0" borderId="9" xfId="0" applyNumberFormat="1" applyBorder="1"/>
    <xf numFmtId="10" fontId="0" fillId="0" borderId="8" xfId="0" applyNumberFormat="1" applyBorder="1"/>
    <xf numFmtId="0" fontId="0" fillId="0" borderId="3" xfId="0" applyBorder="1"/>
    <xf numFmtId="165" fontId="0" fillId="0" borderId="10" xfId="2" applyNumberFormat="1" applyFont="1" applyBorder="1"/>
    <xf numFmtId="10" fontId="0" fillId="0" borderId="7" xfId="2" applyNumberFormat="1" applyFont="1" applyBorder="1"/>
    <xf numFmtId="164" fontId="0" fillId="0" borderId="9" xfId="0" applyNumberFormat="1" applyBorder="1"/>
    <xf numFmtId="9" fontId="2" fillId="0" borderId="1" xfId="0" applyNumberFormat="1" applyFont="1" applyBorder="1"/>
    <xf numFmtId="164" fontId="0" fillId="0" borderId="8" xfId="0" applyNumberFormat="1" applyBorder="1"/>
    <xf numFmtId="0" fontId="2" fillId="0" borderId="2" xfId="0" applyFont="1" applyBorder="1"/>
    <xf numFmtId="164" fontId="0" fillId="0" borderId="7" xfId="0" applyNumberFormat="1" applyBorder="1"/>
    <xf numFmtId="9" fontId="2" fillId="0" borderId="4" xfId="0" applyNumberFormat="1" applyFont="1" applyBorder="1"/>
    <xf numFmtId="9" fontId="0" fillId="0" borderId="1" xfId="0" applyNumberFormat="1" applyBorder="1"/>
    <xf numFmtId="6" fontId="0" fillId="0" borderId="5" xfId="0" applyNumberFormat="1" applyBorder="1"/>
    <xf numFmtId="10" fontId="0" fillId="0" borderId="5" xfId="0" applyNumberFormat="1" applyBorder="1"/>
    <xf numFmtId="0" fontId="2" fillId="0" borderId="5" xfId="0" applyFont="1" applyBorder="1"/>
    <xf numFmtId="0" fontId="2" fillId="0" borderId="5" xfId="0" applyFont="1" applyBorder="1" applyAlignment="1">
      <alignment horizontal="right"/>
    </xf>
    <xf numFmtId="10" fontId="0" fillId="0" borderId="5" xfId="2" applyNumberFormat="1" applyFont="1" applyBorder="1"/>
    <xf numFmtId="8" fontId="0" fillId="0" borderId="5" xfId="0" applyNumberFormat="1" applyBorder="1"/>
    <xf numFmtId="0" fontId="0" fillId="0" borderId="5" xfId="0" applyBorder="1" applyAlignment="1">
      <alignment horizontal="right"/>
    </xf>
    <xf numFmtId="165" fontId="0" fillId="0" borderId="0" xfId="2" applyNumberFormat="1" applyFont="1" applyBorder="1"/>
    <xf numFmtId="0" fontId="0" fillId="2" borderId="5" xfId="0" applyFill="1" applyBorder="1"/>
    <xf numFmtId="0" fontId="6" fillId="0" borderId="5" xfId="0" applyFont="1" applyBorder="1"/>
    <xf numFmtId="0" fontId="6" fillId="0" borderId="0" xfId="0" applyFont="1"/>
    <xf numFmtId="0" fontId="6" fillId="0" borderId="5" xfId="0" applyFont="1" applyBorder="1" applyAlignment="1">
      <alignment horizontal="center"/>
    </xf>
    <xf numFmtId="10" fontId="6" fillId="0" borderId="5" xfId="0" applyNumberFormat="1" applyFont="1" applyBorder="1" applyAlignment="1">
      <alignment horizontal="center"/>
    </xf>
    <xf numFmtId="0" fontId="6" fillId="0" borderId="5" xfId="0" applyFont="1" applyBorder="1" applyAlignment="1">
      <alignment horizontal="right" vertical="center" wrapText="1" indent="1"/>
    </xf>
    <xf numFmtId="0" fontId="7" fillId="0" borderId="0" xfId="0" applyFont="1"/>
    <xf numFmtId="10" fontId="6" fillId="0" borderId="0" xfId="2" applyNumberFormat="1" applyFont="1" applyFill="1"/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right"/>
    </xf>
    <xf numFmtId="2" fontId="0" fillId="0" borderId="5" xfId="0" applyNumberFormat="1" applyBorder="1"/>
  </cellXfs>
  <cellStyles count="3">
    <cellStyle name="Currency" xfId="1" builtinId="4"/>
    <cellStyle name="Normal" xfId="0" builtinId="0"/>
    <cellStyle name="Percent" xfId="2" builtinId="5"/>
  </cellStyles>
  <dxfs count="7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Terminal Wealth Dist. (3000 simulations)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Terminal Wealth Dist. (3000 simulations)</a:t>
          </a:r>
        </a:p>
      </cx:txPr>
    </cx:title>
    <cx:plotArea>
      <cx:plotAreaRegion>
        <cx:series layoutId="clusteredColumn" uniqueId="{CD4B33F0-45B9-481B-8DD0-BCD499730B74}">
          <cx:dataId val="0"/>
          <cx:layoutPr>
            <cx:binning intervalClosed="r">
              <cx:binSize val="1000000"/>
            </cx:binning>
          </cx:layoutPr>
        </cx:series>
      </cx:plotAreaRegion>
      <cx:axis id="0">
        <cx:catScaling gapWidth="0"/>
        <cx:tickLabels/>
        <cx:numFmt formatCode="[&lt;1000000]&quot;$0-&quot;0,,&quot;M&quot;;[&gt;=1000000]$0,,&quot;M&quot;" sourceLinked="0"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1</xdr:row>
          <xdr:rowOff>22860</xdr:rowOff>
        </xdr:from>
        <xdr:to>
          <xdr:col>6</xdr:col>
          <xdr:colOff>594360</xdr:colOff>
          <xdr:row>3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 Simulations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519916</xdr:colOff>
      <xdr:row>9</xdr:row>
      <xdr:rowOff>178777</xdr:rowOff>
    </xdr:from>
    <xdr:to>
      <xdr:col>19</xdr:col>
      <xdr:colOff>403859</xdr:colOff>
      <xdr:row>38</xdr:row>
      <xdr:rowOff>99060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DC8AAA84-9A4F-4F74-A992-7F41FEDBD7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36796" y="1824697"/>
              <a:ext cx="8860303" cy="522380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55A7B-1432-4F5E-A261-9CB22059E4D7}">
  <sheetPr codeName="Sheet1"/>
  <dimension ref="A1:J98"/>
  <sheetViews>
    <sheetView tabSelected="1" topLeftCell="A61" zoomScale="205" zoomScaleNormal="205" workbookViewId="0">
      <selection activeCell="C71" sqref="C71"/>
    </sheetView>
  </sheetViews>
  <sheetFormatPr defaultColWidth="8.88671875" defaultRowHeight="14.4" x14ac:dyDescent="0.3"/>
  <cols>
    <col min="1" max="1" width="12.6640625" style="44" customWidth="1"/>
    <col min="2" max="2" width="15.88671875" style="49" customWidth="1"/>
    <col min="3" max="3" width="15" style="44" customWidth="1"/>
    <col min="4" max="5" width="13.33203125" style="44" customWidth="1"/>
    <col min="6" max="6" width="16.33203125" style="44" customWidth="1"/>
    <col min="7" max="7" width="13.44140625" style="44" customWidth="1"/>
    <col min="8" max="8" width="8.88671875" style="44"/>
    <col min="9" max="9" width="12.109375" style="44" customWidth="1"/>
    <col min="10" max="10" width="12.6640625" style="44" bestFit="1" customWidth="1"/>
    <col min="11" max="16384" width="8.88671875" style="44"/>
  </cols>
  <sheetData>
    <row r="1" spans="1:10" x14ac:dyDescent="0.3">
      <c r="A1" s="43" t="s">
        <v>2</v>
      </c>
      <c r="B1" s="43" t="s">
        <v>26</v>
      </c>
      <c r="C1" s="43" t="s">
        <v>25</v>
      </c>
      <c r="D1" s="43" t="s">
        <v>27</v>
      </c>
      <c r="E1" s="43" t="s">
        <v>134</v>
      </c>
      <c r="F1" s="43" t="s">
        <v>38</v>
      </c>
    </row>
    <row r="2" spans="1:10" x14ac:dyDescent="0.3">
      <c r="A2" s="45">
        <v>1928</v>
      </c>
      <c r="B2" s="46">
        <v>0.43809999999999999</v>
      </c>
      <c r="C2" s="46">
        <v>8.3999999999999995E-3</v>
      </c>
      <c r="D2" s="46">
        <v>-1.1599999999999999E-2</v>
      </c>
      <c r="E2" s="46">
        <f>LN(1+D2)</f>
        <v>-1.16678048676821E-2</v>
      </c>
      <c r="F2" s="47" t="s">
        <v>39</v>
      </c>
      <c r="I2" s="44" t="s">
        <v>29</v>
      </c>
      <c r="J2" s="44">
        <f>Control!C10</f>
        <v>1994</v>
      </c>
    </row>
    <row r="3" spans="1:10" x14ac:dyDescent="0.3">
      <c r="A3" s="45">
        <v>1929</v>
      </c>
      <c r="B3" s="46">
        <v>-8.3000000000000004E-2</v>
      </c>
      <c r="C3" s="46">
        <v>4.2000000000000003E-2</v>
      </c>
      <c r="D3" s="46">
        <v>5.7999999999999996E-3</v>
      </c>
      <c r="E3" s="46">
        <f t="shared" ref="E3:E66" si="0">LN(1+D3)</f>
        <v>5.7832447557273608E-3</v>
      </c>
      <c r="F3" s="47" t="s">
        <v>40</v>
      </c>
      <c r="I3" s="44" t="s">
        <v>30</v>
      </c>
      <c r="J3" s="44">
        <f>Control!C11</f>
        <v>2024</v>
      </c>
    </row>
    <row r="4" spans="1:10" x14ac:dyDescent="0.3">
      <c r="A4" s="45">
        <v>1930</v>
      </c>
      <c r="B4" s="46">
        <v>-0.25119999999999998</v>
      </c>
      <c r="C4" s="46">
        <v>4.5400000000000003E-2</v>
      </c>
      <c r="D4" s="46">
        <v>-6.4000000000000001E-2</v>
      </c>
      <c r="E4" s="46">
        <f t="shared" si="0"/>
        <v>-6.613980250454507E-2</v>
      </c>
      <c r="F4" s="47" t="s">
        <v>41</v>
      </c>
    </row>
    <row r="5" spans="1:10" x14ac:dyDescent="0.3">
      <c r="A5" s="45">
        <v>1931</v>
      </c>
      <c r="B5" s="46">
        <v>-0.43840000000000001</v>
      </c>
      <c r="C5" s="46">
        <v>-2.5600000000000001E-2</v>
      </c>
      <c r="D5" s="46">
        <v>-9.3200000000000005E-2</v>
      </c>
      <c r="E5" s="46">
        <f t="shared" si="0"/>
        <v>-9.7833360348763068E-2</v>
      </c>
      <c r="F5" s="47" t="s">
        <v>42</v>
      </c>
      <c r="I5" s="48" t="s">
        <v>1</v>
      </c>
    </row>
    <row r="6" spans="1:10" x14ac:dyDescent="0.3">
      <c r="A6" s="45">
        <v>1932</v>
      </c>
      <c r="B6" s="46">
        <v>-8.6400000000000005E-2</v>
      </c>
      <c r="C6" s="46">
        <v>8.7900000000000006E-2</v>
      </c>
      <c r="D6" s="46">
        <v>-0.1027</v>
      </c>
      <c r="E6" s="46">
        <f t="shared" si="0"/>
        <v>-0.10836502467812503</v>
      </c>
      <c r="F6" s="47" t="s">
        <v>43</v>
      </c>
      <c r="I6" s="44" t="s">
        <v>6</v>
      </c>
      <c r="J6" s="49">
        <f>AVERAGEIFS(B2:B98, A2:A98, "&gt;="&amp;J2, A2:A98, "&lt;="&amp;J3)</f>
        <v>0.1208741935483871</v>
      </c>
    </row>
    <row r="7" spans="1:10" x14ac:dyDescent="0.3">
      <c r="A7" s="45">
        <v>1933</v>
      </c>
      <c r="B7" s="46">
        <v>0.49980000000000002</v>
      </c>
      <c r="C7" s="46">
        <v>1.8599999999999998E-2</v>
      </c>
      <c r="D7" s="46">
        <v>7.6E-3</v>
      </c>
      <c r="E7" s="46">
        <f t="shared" si="0"/>
        <v>7.5712654963181261E-3</v>
      </c>
      <c r="F7" s="47" t="s">
        <v>44</v>
      </c>
      <c r="I7" s="44" t="s">
        <v>7</v>
      </c>
      <c r="J7" s="49" cm="1">
        <f t="array" ref="J7">_xlfn.STDEV.S(IF((A2:A98&gt;=J2)*(A2:A98&lt;=J3), B2:B98))</f>
        <v>0.17969553689086057</v>
      </c>
    </row>
    <row r="8" spans="1:10" x14ac:dyDescent="0.3">
      <c r="A8" s="45">
        <v>1934</v>
      </c>
      <c r="B8" s="46">
        <v>-1.1900000000000001E-2</v>
      </c>
      <c r="C8" s="46">
        <v>7.9600000000000004E-2</v>
      </c>
      <c r="D8" s="46">
        <v>1.52E-2</v>
      </c>
      <c r="E8" s="46">
        <f t="shared" si="0"/>
        <v>1.5085637418040953E-2</v>
      </c>
      <c r="F8" s="47" t="s">
        <v>45</v>
      </c>
      <c r="I8" s="48" t="s">
        <v>11</v>
      </c>
    </row>
    <row r="9" spans="1:10" x14ac:dyDescent="0.3">
      <c r="A9" s="45">
        <v>1935</v>
      </c>
      <c r="B9" s="46">
        <v>0.46739999999999998</v>
      </c>
      <c r="C9" s="46">
        <v>4.4699999999999997E-2</v>
      </c>
      <c r="D9" s="46">
        <v>2.9899999999999999E-2</v>
      </c>
      <c r="E9" s="46">
        <f t="shared" si="0"/>
        <v>2.9461710149619048E-2</v>
      </c>
      <c r="F9" s="47" t="s">
        <v>46</v>
      </c>
      <c r="I9" s="44" t="s">
        <v>6</v>
      </c>
      <c r="J9" s="49">
        <f>AVERAGEIFS(C2:C98, A2:A98, "&gt;="&amp;J2, A2:A98, "&lt;="&amp;J3)</f>
        <v>4.340322580645161E-2</v>
      </c>
    </row>
    <row r="10" spans="1:10" x14ac:dyDescent="0.3">
      <c r="A10" s="45">
        <v>1936</v>
      </c>
      <c r="B10" s="46">
        <v>0.31940000000000002</v>
      </c>
      <c r="C10" s="46">
        <v>5.0200000000000002E-2</v>
      </c>
      <c r="D10" s="46">
        <v>1.4500000000000001E-2</v>
      </c>
      <c r="E10" s="46">
        <f t="shared" si="0"/>
        <v>1.4395880283732339E-2</v>
      </c>
      <c r="F10" s="47" t="s">
        <v>47</v>
      </c>
      <c r="I10" s="44" t="s">
        <v>7</v>
      </c>
      <c r="J10" s="49" cm="1">
        <f t="array" ref="J10">_xlfn.STDEV.S(IF((A2:A98&gt;=J2)*(A2:A98&lt;=J3), C2:C98))</f>
        <v>9.5698392476470814E-2</v>
      </c>
    </row>
    <row r="11" spans="1:10" x14ac:dyDescent="0.3">
      <c r="A11" s="45">
        <v>1937</v>
      </c>
      <c r="B11" s="46">
        <v>-0.35339999999999999</v>
      </c>
      <c r="C11" s="46">
        <v>1.38E-2</v>
      </c>
      <c r="D11" s="46">
        <v>2.86E-2</v>
      </c>
      <c r="E11" s="46">
        <f t="shared" si="0"/>
        <v>2.8198654358678736E-2</v>
      </c>
      <c r="F11" s="47" t="s">
        <v>48</v>
      </c>
      <c r="I11" s="48" t="s">
        <v>28</v>
      </c>
      <c r="J11" s="49"/>
    </row>
    <row r="12" spans="1:10" x14ac:dyDescent="0.3">
      <c r="A12" s="45">
        <v>1938</v>
      </c>
      <c r="B12" s="46">
        <v>0.2928</v>
      </c>
      <c r="C12" s="46">
        <v>4.2099999999999999E-2</v>
      </c>
      <c r="D12" s="46">
        <v>-2.7799999999999998E-2</v>
      </c>
      <c r="E12" s="46">
        <f t="shared" si="0"/>
        <v>-2.8193734370781983E-2</v>
      </c>
      <c r="F12" s="47" t="s">
        <v>49</v>
      </c>
      <c r="I12" s="44" t="s">
        <v>135</v>
      </c>
      <c r="J12" s="49">
        <f>AVERAGEIFS(E2:E98, A2:A98, "&gt;="&amp;J2, A2:A98, "&lt;="&amp;J3)</f>
        <v>2.4866166624196325E-2</v>
      </c>
    </row>
    <row r="13" spans="1:10" x14ac:dyDescent="0.3">
      <c r="A13" s="45">
        <v>1939</v>
      </c>
      <c r="B13" s="46">
        <v>-1.0999999999999999E-2</v>
      </c>
      <c r="C13" s="46">
        <v>4.41E-2</v>
      </c>
      <c r="D13" s="46">
        <v>0</v>
      </c>
      <c r="E13" s="46">
        <f t="shared" si="0"/>
        <v>0</v>
      </c>
      <c r="F13" s="47" t="s">
        <v>50</v>
      </c>
      <c r="I13" s="44" t="s">
        <v>136</v>
      </c>
      <c r="J13" s="49" cm="1">
        <f t="array" ref="J13">_xlfn.STDEV.S(IF((A2:A98&gt;=J2)*(A2:A98&lt;=J3), E2:E98))</f>
        <v>1.3887905852197562E-2</v>
      </c>
    </row>
    <row r="14" spans="1:10" x14ac:dyDescent="0.3">
      <c r="A14" s="45">
        <v>1940</v>
      </c>
      <c r="B14" s="46">
        <v>-0.1067</v>
      </c>
      <c r="C14" s="46">
        <v>5.3999999999999999E-2</v>
      </c>
      <c r="D14" s="46">
        <v>7.1000000000000004E-3</v>
      </c>
      <c r="E14" s="46">
        <f t="shared" si="0"/>
        <v>7.0749136719619847E-3</v>
      </c>
      <c r="F14" s="47" t="s">
        <v>51</v>
      </c>
      <c r="J14" s="49"/>
    </row>
    <row r="15" spans="1:10" x14ac:dyDescent="0.3">
      <c r="A15" s="45">
        <v>1941</v>
      </c>
      <c r="B15" s="46">
        <v>-0.12770000000000001</v>
      </c>
      <c r="C15" s="46">
        <v>-2.0199999999999999E-2</v>
      </c>
      <c r="D15" s="46">
        <v>9.9299999999999999E-2</v>
      </c>
      <c r="E15" s="46">
        <f t="shared" si="0"/>
        <v>9.4673613602680992E-2</v>
      </c>
      <c r="F15" s="47" t="s">
        <v>52</v>
      </c>
      <c r="I15" s="48" t="s">
        <v>133</v>
      </c>
      <c r="J15" s="50" t="str">
        <f>INDEX(Historical!F2:F98, MATCH(Control!C10, Historical!A2:A98, 0))</f>
        <v>  20.22</v>
      </c>
    </row>
    <row r="16" spans="1:10" x14ac:dyDescent="0.3">
      <c r="A16" s="45">
        <v>1942</v>
      </c>
      <c r="B16" s="46">
        <v>0.19170000000000001</v>
      </c>
      <c r="C16" s="46">
        <v>2.29E-2</v>
      </c>
      <c r="D16" s="46">
        <v>9.0300000000000005E-2</v>
      </c>
      <c r="E16" s="46">
        <f t="shared" si="0"/>
        <v>8.645288773019906E-2</v>
      </c>
      <c r="F16" s="47" t="s">
        <v>53</v>
      </c>
      <c r="J16" s="49"/>
    </row>
    <row r="17" spans="1:10" x14ac:dyDescent="0.3">
      <c r="A17" s="45">
        <v>1943</v>
      </c>
      <c r="B17" s="46">
        <v>0.25059999999999999</v>
      </c>
      <c r="C17" s="46">
        <v>2.4899999999999999E-2</v>
      </c>
      <c r="D17" s="46">
        <v>2.9600000000000001E-2</v>
      </c>
      <c r="E17" s="46">
        <f t="shared" si="0"/>
        <v>2.9170377299779924E-2</v>
      </c>
      <c r="F17" s="47" t="s">
        <v>54</v>
      </c>
    </row>
    <row r="18" spans="1:10" x14ac:dyDescent="0.3">
      <c r="A18" s="45">
        <v>1944</v>
      </c>
      <c r="B18" s="46">
        <v>0.1903</v>
      </c>
      <c r="C18" s="46">
        <v>2.58E-2</v>
      </c>
      <c r="D18" s="46">
        <v>2.3E-2</v>
      </c>
      <c r="E18" s="46">
        <f t="shared" si="0"/>
        <v>2.2739486969489339E-2</v>
      </c>
      <c r="F18" s="47" t="s">
        <v>55</v>
      </c>
      <c r="J18" s="49"/>
    </row>
    <row r="19" spans="1:10" x14ac:dyDescent="0.3">
      <c r="A19" s="45">
        <v>1945</v>
      </c>
      <c r="B19" s="46">
        <v>0.35820000000000002</v>
      </c>
      <c r="C19" s="46">
        <v>3.7999999999999999E-2</v>
      </c>
      <c r="D19" s="46">
        <v>2.2499999999999999E-2</v>
      </c>
      <c r="E19" s="46">
        <f t="shared" si="0"/>
        <v>2.2250608934819723E-2</v>
      </c>
      <c r="F19" s="47" t="s">
        <v>56</v>
      </c>
      <c r="J19" s="49"/>
    </row>
    <row r="20" spans="1:10" x14ac:dyDescent="0.3">
      <c r="A20" s="45">
        <v>1946</v>
      </c>
      <c r="B20" s="46">
        <v>-8.43E-2</v>
      </c>
      <c r="C20" s="46">
        <v>3.1300000000000001E-2</v>
      </c>
      <c r="D20" s="46">
        <v>0.18129999999999999</v>
      </c>
      <c r="E20" s="46">
        <f t="shared" si="0"/>
        <v>0.1666155269723372</v>
      </c>
      <c r="F20" s="47" t="s">
        <v>57</v>
      </c>
      <c r="J20" s="49"/>
    </row>
    <row r="21" spans="1:10" x14ac:dyDescent="0.3">
      <c r="A21" s="45">
        <v>1947</v>
      </c>
      <c r="B21" s="46">
        <v>5.1999999999999998E-2</v>
      </c>
      <c r="C21" s="46">
        <v>9.1999999999999998E-3</v>
      </c>
      <c r="D21" s="46">
        <v>8.8400000000000006E-2</v>
      </c>
      <c r="E21" s="46">
        <f t="shared" si="0"/>
        <v>8.4708727926954205E-2</v>
      </c>
      <c r="F21" s="47" t="s">
        <v>58</v>
      </c>
      <c r="J21" s="49"/>
    </row>
    <row r="22" spans="1:10" x14ac:dyDescent="0.3">
      <c r="A22" s="45">
        <v>1948</v>
      </c>
      <c r="B22" s="46">
        <v>5.7000000000000002E-2</v>
      </c>
      <c r="C22" s="46">
        <v>1.95E-2</v>
      </c>
      <c r="D22" s="46">
        <v>2.9899999999999999E-2</v>
      </c>
      <c r="E22" s="46">
        <f t="shared" si="0"/>
        <v>2.9461710149619048E-2</v>
      </c>
      <c r="F22" s="47" t="s">
        <v>59</v>
      </c>
      <c r="J22" s="49"/>
    </row>
    <row r="23" spans="1:10" x14ac:dyDescent="0.3">
      <c r="A23" s="45">
        <v>1949</v>
      </c>
      <c r="B23" s="46">
        <v>0.183</v>
      </c>
      <c r="C23" s="46">
        <v>4.6600000000000003E-2</v>
      </c>
      <c r="D23" s="46">
        <v>-2.07E-2</v>
      </c>
      <c r="E23" s="46">
        <f t="shared" si="0"/>
        <v>-2.0917248255388307E-2</v>
      </c>
      <c r="F23" s="47" t="s">
        <v>60</v>
      </c>
      <c r="J23" s="49"/>
    </row>
    <row r="24" spans="1:10" x14ac:dyDescent="0.3">
      <c r="A24" s="45">
        <v>1950</v>
      </c>
      <c r="B24" s="46">
        <v>0.30809999999999998</v>
      </c>
      <c r="C24" s="46">
        <v>4.3E-3</v>
      </c>
      <c r="D24" s="46">
        <v>5.9299999999999999E-2</v>
      </c>
      <c r="E24" s="46">
        <f t="shared" si="0"/>
        <v>5.7608312620313275E-2</v>
      </c>
      <c r="F24" s="47" t="s">
        <v>61</v>
      </c>
      <c r="J24" s="49"/>
    </row>
    <row r="25" spans="1:10" x14ac:dyDescent="0.3">
      <c r="A25" s="45">
        <v>1951</v>
      </c>
      <c r="B25" s="46">
        <v>0.23680000000000001</v>
      </c>
      <c r="C25" s="46">
        <v>-3.0000000000000001E-3</v>
      </c>
      <c r="D25" s="46">
        <v>0.06</v>
      </c>
      <c r="E25" s="46">
        <f t="shared" si="0"/>
        <v>5.8268908123975824E-2</v>
      </c>
      <c r="F25" s="47" t="s">
        <v>62</v>
      </c>
      <c r="J25" s="49"/>
    </row>
    <row r="26" spans="1:10" x14ac:dyDescent="0.3">
      <c r="A26" s="45">
        <v>1952</v>
      </c>
      <c r="B26" s="46">
        <v>0.18149999999999999</v>
      </c>
      <c r="C26" s="46">
        <v>2.2700000000000001E-2</v>
      </c>
      <c r="D26" s="46">
        <v>7.4999999999999997E-3</v>
      </c>
      <c r="E26" s="46">
        <f t="shared" si="0"/>
        <v>7.4720148387010564E-3</v>
      </c>
      <c r="F26" s="47" t="s">
        <v>63</v>
      </c>
      <c r="J26" s="49"/>
    </row>
    <row r="27" spans="1:10" x14ac:dyDescent="0.3">
      <c r="A27" s="45">
        <v>1953</v>
      </c>
      <c r="B27" s="46">
        <v>-1.21E-2</v>
      </c>
      <c r="C27" s="46">
        <v>4.1399999999999999E-2</v>
      </c>
      <c r="D27" s="46">
        <v>7.4999999999999997E-3</v>
      </c>
      <c r="E27" s="46">
        <f t="shared" si="0"/>
        <v>7.4720148387010564E-3</v>
      </c>
      <c r="F27" s="47" t="s">
        <v>64</v>
      </c>
      <c r="J27" s="49"/>
    </row>
    <row r="28" spans="1:10" x14ac:dyDescent="0.3">
      <c r="A28" s="45">
        <v>1954</v>
      </c>
      <c r="B28" s="46">
        <v>0.52559999999999996</v>
      </c>
      <c r="C28" s="46">
        <v>3.2899999999999999E-2</v>
      </c>
      <c r="D28" s="46">
        <v>-7.4000000000000003E-3</v>
      </c>
      <c r="E28" s="46">
        <f t="shared" si="0"/>
        <v>-7.4275158287965843E-3</v>
      </c>
      <c r="F28" s="47" t="s">
        <v>65</v>
      </c>
      <c r="J28" s="49"/>
    </row>
    <row r="29" spans="1:10" x14ac:dyDescent="0.3">
      <c r="A29" s="45">
        <v>1955</v>
      </c>
      <c r="B29" s="46">
        <v>0.32600000000000001</v>
      </c>
      <c r="C29" s="46">
        <v>-1.34E-2</v>
      </c>
      <c r="D29" s="46">
        <v>3.7000000000000002E-3</v>
      </c>
      <c r="E29" s="46">
        <f t="shared" si="0"/>
        <v>3.6931718376176067E-3</v>
      </c>
      <c r="F29" s="47" t="s">
        <v>66</v>
      </c>
      <c r="J29" s="49"/>
    </row>
    <row r="30" spans="1:10" x14ac:dyDescent="0.3">
      <c r="A30" s="45">
        <v>1956</v>
      </c>
      <c r="B30" s="46">
        <v>7.4399999999999994E-2</v>
      </c>
      <c r="C30" s="46">
        <v>-2.2599999999999999E-2</v>
      </c>
      <c r="D30" s="46">
        <v>2.9899999999999999E-2</v>
      </c>
      <c r="E30" s="46">
        <f t="shared" si="0"/>
        <v>2.9461710149619048E-2</v>
      </c>
      <c r="F30" s="47" t="s">
        <v>67</v>
      </c>
      <c r="J30" s="49"/>
    </row>
    <row r="31" spans="1:10" x14ac:dyDescent="0.3">
      <c r="A31" s="45">
        <v>1957</v>
      </c>
      <c r="B31" s="46">
        <v>-0.1046</v>
      </c>
      <c r="C31" s="46">
        <v>6.8000000000000005E-2</v>
      </c>
      <c r="D31" s="46">
        <v>2.9000000000000001E-2</v>
      </c>
      <c r="E31" s="46">
        <f t="shared" si="0"/>
        <v>2.8587456851912472E-2</v>
      </c>
      <c r="F31" s="47" t="s">
        <v>68</v>
      </c>
      <c r="J31" s="49"/>
    </row>
    <row r="32" spans="1:10" x14ac:dyDescent="0.3">
      <c r="A32" s="45">
        <v>1958</v>
      </c>
      <c r="B32" s="46">
        <v>0.43719999999999998</v>
      </c>
      <c r="C32" s="46">
        <v>-2.1000000000000001E-2</v>
      </c>
      <c r="D32" s="46">
        <v>1.7600000000000001E-2</v>
      </c>
      <c r="E32" s="46">
        <f t="shared" si="0"/>
        <v>1.7446913603720703E-2</v>
      </c>
      <c r="F32" s="47" t="s">
        <v>69</v>
      </c>
      <c r="J32" s="49"/>
    </row>
    <row r="33" spans="1:10" x14ac:dyDescent="0.3">
      <c r="A33" s="45">
        <v>1959</v>
      </c>
      <c r="B33" s="46">
        <v>0.1206</v>
      </c>
      <c r="C33" s="46">
        <v>-2.6499999999999999E-2</v>
      </c>
      <c r="D33" s="46">
        <v>1.7299999999999999E-2</v>
      </c>
      <c r="E33" s="46">
        <f t="shared" si="0"/>
        <v>1.7152058817565659E-2</v>
      </c>
      <c r="F33" s="47" t="s">
        <v>70</v>
      </c>
      <c r="J33" s="49"/>
    </row>
    <row r="34" spans="1:10" x14ac:dyDescent="0.3">
      <c r="A34" s="45">
        <v>1960</v>
      </c>
      <c r="B34" s="46">
        <v>3.3999999999999998E-3</v>
      </c>
      <c r="C34" s="46">
        <v>0.1164</v>
      </c>
      <c r="D34" s="46">
        <v>1.3599999999999999E-2</v>
      </c>
      <c r="E34" s="46">
        <f t="shared" si="0"/>
        <v>1.3508350024792299E-2</v>
      </c>
      <c r="F34" s="47" t="s">
        <v>71</v>
      </c>
      <c r="J34" s="49"/>
    </row>
    <row r="35" spans="1:10" x14ac:dyDescent="0.3">
      <c r="A35" s="45">
        <v>1961</v>
      </c>
      <c r="B35" s="46">
        <v>0.26640000000000003</v>
      </c>
      <c r="C35" s="46">
        <v>2.06E-2</v>
      </c>
      <c r="D35" s="46">
        <v>6.7000000000000002E-3</v>
      </c>
      <c r="E35" s="46">
        <f t="shared" si="0"/>
        <v>6.6776547532404968E-3</v>
      </c>
      <c r="F35" s="47" t="s">
        <v>72</v>
      </c>
      <c r="J35" s="49"/>
    </row>
    <row r="36" spans="1:10" x14ac:dyDescent="0.3">
      <c r="A36" s="45">
        <v>1962</v>
      </c>
      <c r="B36" s="46">
        <v>-8.8099999999999998E-2</v>
      </c>
      <c r="C36" s="46">
        <v>5.6899999999999999E-2</v>
      </c>
      <c r="D36" s="46">
        <v>1.3299999999999999E-2</v>
      </c>
      <c r="E36" s="46">
        <f t="shared" si="0"/>
        <v>1.32123314721349E-2</v>
      </c>
      <c r="F36" s="47" t="s">
        <v>73</v>
      </c>
      <c r="J36" s="49"/>
    </row>
    <row r="37" spans="1:10" x14ac:dyDescent="0.3">
      <c r="A37" s="45">
        <v>1963</v>
      </c>
      <c r="B37" s="46">
        <v>0.2261</v>
      </c>
      <c r="C37" s="46">
        <v>1.6799999999999999E-2</v>
      </c>
      <c r="D37" s="46">
        <v>1.6400000000000001E-2</v>
      </c>
      <c r="E37" s="46">
        <f t="shared" si="0"/>
        <v>1.6266972463871938E-2</v>
      </c>
      <c r="F37" s="47" t="s">
        <v>74</v>
      </c>
      <c r="J37" s="49"/>
    </row>
    <row r="38" spans="1:10" x14ac:dyDescent="0.3">
      <c r="A38" s="45">
        <v>1964</v>
      </c>
      <c r="B38" s="46">
        <v>0.16420000000000001</v>
      </c>
      <c r="C38" s="46">
        <v>3.73E-2</v>
      </c>
      <c r="D38" s="46">
        <v>9.7000000000000003E-3</v>
      </c>
      <c r="E38" s="46">
        <f t="shared" si="0"/>
        <v>9.653257028138346E-3</v>
      </c>
      <c r="F38" s="47" t="s">
        <v>75</v>
      </c>
      <c r="J38" s="49"/>
    </row>
    <row r="39" spans="1:10" x14ac:dyDescent="0.3">
      <c r="A39" s="45">
        <v>1965</v>
      </c>
      <c r="B39" s="46">
        <v>0.124</v>
      </c>
      <c r="C39" s="46">
        <v>7.1999999999999998E-3</v>
      </c>
      <c r="D39" s="46">
        <v>1.9199999999999998E-2</v>
      </c>
      <c r="E39" s="46">
        <f t="shared" si="0"/>
        <v>1.901800583576195E-2</v>
      </c>
      <c r="F39" s="47" t="s">
        <v>76</v>
      </c>
      <c r="J39" s="49"/>
    </row>
    <row r="40" spans="1:10" x14ac:dyDescent="0.3">
      <c r="A40" s="45">
        <v>1966</v>
      </c>
      <c r="B40" s="46">
        <v>-9.9699999999999997E-2</v>
      </c>
      <c r="C40" s="46">
        <v>2.9100000000000001E-2</v>
      </c>
      <c r="D40" s="46">
        <v>3.4599999999999999E-2</v>
      </c>
      <c r="E40" s="46">
        <f t="shared" si="0"/>
        <v>3.4014878587277621E-2</v>
      </c>
      <c r="F40" s="47" t="s">
        <v>77</v>
      </c>
      <c r="J40" s="49"/>
    </row>
    <row r="41" spans="1:10" x14ac:dyDescent="0.3">
      <c r="A41" s="45">
        <v>1967</v>
      </c>
      <c r="B41" s="46">
        <v>0.23799999999999999</v>
      </c>
      <c r="C41" s="46">
        <v>-1.5800000000000002E-2</v>
      </c>
      <c r="D41" s="46">
        <v>3.04E-2</v>
      </c>
      <c r="E41" s="46">
        <f t="shared" si="0"/>
        <v>2.9947076367952099E-2</v>
      </c>
      <c r="F41" s="47" t="s">
        <v>78</v>
      </c>
      <c r="J41" s="49"/>
    </row>
    <row r="42" spans="1:10" x14ac:dyDescent="0.3">
      <c r="A42" s="45">
        <v>1968</v>
      </c>
      <c r="B42" s="46">
        <v>0.1081</v>
      </c>
      <c r="C42" s="46">
        <v>3.27E-2</v>
      </c>
      <c r="D42" s="46">
        <v>4.7199999999999999E-2</v>
      </c>
      <c r="E42" s="46">
        <f t="shared" si="0"/>
        <v>4.6119935613553036E-2</v>
      </c>
      <c r="F42" s="47" t="s">
        <v>79</v>
      </c>
      <c r="J42" s="49"/>
    </row>
    <row r="43" spans="1:10" x14ac:dyDescent="0.3">
      <c r="A43" s="45">
        <v>1969</v>
      </c>
      <c r="B43" s="46">
        <v>-8.2400000000000001E-2</v>
      </c>
      <c r="C43" s="46">
        <v>-5.0099999999999999E-2</v>
      </c>
      <c r="D43" s="46">
        <v>6.2E-2</v>
      </c>
      <c r="E43" s="46">
        <f t="shared" si="0"/>
        <v>6.0153922819747144E-2</v>
      </c>
      <c r="F43" s="47" t="s">
        <v>46</v>
      </c>
      <c r="J43" s="49"/>
    </row>
    <row r="44" spans="1:10" x14ac:dyDescent="0.3">
      <c r="A44" s="45">
        <v>1970</v>
      </c>
      <c r="B44" s="46">
        <v>3.56E-2</v>
      </c>
      <c r="C44" s="46">
        <v>0.16750000000000001</v>
      </c>
      <c r="D44" s="46">
        <v>5.57E-2</v>
      </c>
      <c r="E44" s="46">
        <f t="shared" si="0"/>
        <v>5.4204054013512186E-2</v>
      </c>
      <c r="F44" s="47" t="s">
        <v>80</v>
      </c>
      <c r="J44" s="49"/>
    </row>
    <row r="45" spans="1:10" x14ac:dyDescent="0.3">
      <c r="A45" s="45">
        <v>1971</v>
      </c>
      <c r="B45" s="46">
        <v>0.14219999999999999</v>
      </c>
      <c r="C45" s="46">
        <v>9.7900000000000001E-2</v>
      </c>
      <c r="D45" s="46">
        <v>3.27E-2</v>
      </c>
      <c r="E45" s="46">
        <f t="shared" si="0"/>
        <v>3.21767316952212E-2</v>
      </c>
      <c r="F45" s="47" t="s">
        <v>81</v>
      </c>
      <c r="J45" s="49"/>
    </row>
    <row r="46" spans="1:10" x14ac:dyDescent="0.3">
      <c r="A46" s="45">
        <v>1972</v>
      </c>
      <c r="B46" s="46">
        <v>0.18759999999999999</v>
      </c>
      <c r="C46" s="46">
        <v>2.8199999999999999E-2</v>
      </c>
      <c r="D46" s="46">
        <v>3.4099999999999998E-2</v>
      </c>
      <c r="E46" s="46">
        <f t="shared" si="0"/>
        <v>3.3531483208792345E-2</v>
      </c>
      <c r="F46" s="47" t="s">
        <v>82</v>
      </c>
      <c r="J46" s="49"/>
    </row>
    <row r="47" spans="1:10" x14ac:dyDescent="0.3">
      <c r="A47" s="45">
        <v>1973</v>
      </c>
      <c r="B47" s="46">
        <v>-0.1431</v>
      </c>
      <c r="C47" s="46">
        <v>3.6600000000000001E-2</v>
      </c>
      <c r="D47" s="46">
        <v>8.7099999999999997E-2</v>
      </c>
      <c r="E47" s="46">
        <f t="shared" si="0"/>
        <v>8.3513600227817592E-2</v>
      </c>
      <c r="F47" s="47" t="s">
        <v>83</v>
      </c>
      <c r="J47" s="49"/>
    </row>
    <row r="48" spans="1:10" x14ac:dyDescent="0.3">
      <c r="A48" s="45">
        <v>1974</v>
      </c>
      <c r="B48" s="46">
        <v>-0.25900000000000001</v>
      </c>
      <c r="C48" s="46">
        <v>1.9900000000000001E-2</v>
      </c>
      <c r="D48" s="46">
        <v>0.1234</v>
      </c>
      <c r="E48" s="46">
        <f t="shared" si="0"/>
        <v>0.11635980111619525</v>
      </c>
      <c r="F48" s="47" t="s">
        <v>84</v>
      </c>
      <c r="J48" s="49"/>
    </row>
    <row r="49" spans="1:10" x14ac:dyDescent="0.3">
      <c r="A49" s="45">
        <v>1975</v>
      </c>
      <c r="B49" s="46">
        <v>0.37</v>
      </c>
      <c r="C49" s="46">
        <v>3.61E-2</v>
      </c>
      <c r="D49" s="46">
        <v>6.9400000000000003E-2</v>
      </c>
      <c r="E49" s="46">
        <f t="shared" si="0"/>
        <v>6.709774353249405E-2</v>
      </c>
      <c r="F49" s="47" t="s">
        <v>85</v>
      </c>
      <c r="J49" s="49"/>
    </row>
    <row r="50" spans="1:10" x14ac:dyDescent="0.3">
      <c r="A50" s="45">
        <v>1976</v>
      </c>
      <c r="B50" s="46">
        <v>0.23830000000000001</v>
      </c>
      <c r="C50" s="46">
        <v>0.1598</v>
      </c>
      <c r="D50" s="46">
        <v>4.8599999999999997E-2</v>
      </c>
      <c r="E50" s="46">
        <f t="shared" si="0"/>
        <v>4.7455941156295332E-2</v>
      </c>
      <c r="F50" s="47" t="s">
        <v>86</v>
      </c>
      <c r="J50" s="49"/>
    </row>
    <row r="51" spans="1:10" x14ac:dyDescent="0.3">
      <c r="A51" s="45">
        <v>1977</v>
      </c>
      <c r="B51" s="46">
        <v>-6.9800000000000001E-2</v>
      </c>
      <c r="C51" s="46">
        <v>1.29E-2</v>
      </c>
      <c r="D51" s="46">
        <v>6.7000000000000004E-2</v>
      </c>
      <c r="E51" s="46">
        <f t="shared" si="0"/>
        <v>6.4850972319616271E-2</v>
      </c>
      <c r="F51" s="47" t="s">
        <v>87</v>
      </c>
      <c r="J51" s="49"/>
    </row>
    <row r="52" spans="1:10" x14ac:dyDescent="0.3">
      <c r="A52" s="45">
        <v>1978</v>
      </c>
      <c r="B52" s="46">
        <v>6.5100000000000005E-2</v>
      </c>
      <c r="C52" s="46">
        <v>-7.7999999999999996E-3</v>
      </c>
      <c r="D52" s="46">
        <v>9.0200000000000002E-2</v>
      </c>
      <c r="E52" s="46">
        <f t="shared" si="0"/>
        <v>8.6361165648043497E-2</v>
      </c>
      <c r="F52" s="47" t="s">
        <v>88</v>
      </c>
      <c r="J52" s="49"/>
    </row>
    <row r="53" spans="1:10" x14ac:dyDescent="0.3">
      <c r="A53" s="45">
        <v>1979</v>
      </c>
      <c r="B53" s="46">
        <v>0.1852</v>
      </c>
      <c r="C53" s="46">
        <v>6.7000000000000002E-3</v>
      </c>
      <c r="D53" s="46">
        <v>0.13289999999999999</v>
      </c>
      <c r="E53" s="46">
        <f t="shared" si="0"/>
        <v>0.12478071689730587</v>
      </c>
      <c r="F53" s="47" t="s">
        <v>89</v>
      </c>
      <c r="J53" s="49"/>
    </row>
    <row r="54" spans="1:10" x14ac:dyDescent="0.3">
      <c r="A54" s="45">
        <v>1980</v>
      </c>
      <c r="B54" s="46">
        <v>0.31740000000000002</v>
      </c>
      <c r="C54" s="46">
        <v>-2.9899999999999999E-2</v>
      </c>
      <c r="D54" s="46">
        <v>0.12520000000000001</v>
      </c>
      <c r="E54" s="46">
        <f t="shared" si="0"/>
        <v>0.11796079763356471</v>
      </c>
      <c r="F54" s="47" t="s">
        <v>88</v>
      </c>
      <c r="J54" s="49"/>
    </row>
    <row r="55" spans="1:10" x14ac:dyDescent="0.3">
      <c r="A55" s="45">
        <v>1981</v>
      </c>
      <c r="B55" s="46">
        <v>-4.7E-2</v>
      </c>
      <c r="C55" s="46">
        <v>8.2000000000000003E-2</v>
      </c>
      <c r="D55" s="46">
        <v>8.9200000000000002E-2</v>
      </c>
      <c r="E55" s="46">
        <f t="shared" si="0"/>
        <v>8.5443481817467429E-2</v>
      </c>
      <c r="F55" s="47" t="s">
        <v>90</v>
      </c>
      <c r="J55" s="49"/>
    </row>
    <row r="56" spans="1:10" x14ac:dyDescent="0.3">
      <c r="A56" s="45">
        <v>1982</v>
      </c>
      <c r="B56" s="46">
        <v>0.20419999999999999</v>
      </c>
      <c r="C56" s="46">
        <v>0.3281</v>
      </c>
      <c r="D56" s="46">
        <v>3.8300000000000001E-2</v>
      </c>
      <c r="E56" s="46">
        <f t="shared" si="0"/>
        <v>3.7584760327271212E-2</v>
      </c>
      <c r="F56" s="47" t="s">
        <v>91</v>
      </c>
      <c r="J56" s="49"/>
    </row>
    <row r="57" spans="1:10" x14ac:dyDescent="0.3">
      <c r="A57" s="45">
        <v>1983</v>
      </c>
      <c r="B57" s="46">
        <v>0.22339999999999999</v>
      </c>
      <c r="C57" s="46">
        <v>3.2000000000000001E-2</v>
      </c>
      <c r="D57" s="46">
        <v>3.7900000000000003E-2</v>
      </c>
      <c r="E57" s="46">
        <f t="shared" si="0"/>
        <v>3.7199440989106304E-2</v>
      </c>
      <c r="F57" s="47" t="s">
        <v>92</v>
      </c>
      <c r="J57" s="49"/>
    </row>
    <row r="58" spans="1:10" x14ac:dyDescent="0.3">
      <c r="A58" s="45">
        <v>1984</v>
      </c>
      <c r="B58" s="46">
        <v>6.1499999999999999E-2</v>
      </c>
      <c r="C58" s="46">
        <v>0.13730000000000001</v>
      </c>
      <c r="D58" s="46">
        <v>3.95E-2</v>
      </c>
      <c r="E58" s="46">
        <f t="shared" si="0"/>
        <v>3.8739828315930647E-2</v>
      </c>
      <c r="F58" s="47" t="s">
        <v>93</v>
      </c>
      <c r="J58" s="49"/>
    </row>
    <row r="59" spans="1:10" x14ac:dyDescent="0.3">
      <c r="A59" s="45">
        <v>1985</v>
      </c>
      <c r="B59" s="46">
        <v>0.31240000000000001</v>
      </c>
      <c r="C59" s="46">
        <v>0.2571</v>
      </c>
      <c r="D59" s="46">
        <v>3.7999999999999999E-2</v>
      </c>
      <c r="E59" s="46">
        <f t="shared" si="0"/>
        <v>3.7295784743696929E-2</v>
      </c>
      <c r="F59" s="47" t="s">
        <v>94</v>
      </c>
      <c r="J59" s="49"/>
    </row>
    <row r="60" spans="1:10" x14ac:dyDescent="0.3">
      <c r="A60" s="45">
        <v>1986</v>
      </c>
      <c r="B60" s="46">
        <v>0.18490000000000001</v>
      </c>
      <c r="C60" s="46">
        <v>0.24279999999999999</v>
      </c>
      <c r="D60" s="46">
        <v>1.0999999999999999E-2</v>
      </c>
      <c r="E60" s="46">
        <f t="shared" si="0"/>
        <v>1.0939940038334263E-2</v>
      </c>
      <c r="F60" s="47" t="s">
        <v>95</v>
      </c>
      <c r="J60" s="49"/>
    </row>
    <row r="61" spans="1:10" x14ac:dyDescent="0.3">
      <c r="A61" s="45">
        <v>1987</v>
      </c>
      <c r="B61" s="46">
        <v>5.8099999999999999E-2</v>
      </c>
      <c r="C61" s="46">
        <v>-4.9599999999999998E-2</v>
      </c>
      <c r="D61" s="46">
        <v>4.4299999999999999E-2</v>
      </c>
      <c r="E61" s="46">
        <f t="shared" si="0"/>
        <v>4.3346804503365866E-2</v>
      </c>
      <c r="F61" s="47" t="s">
        <v>51</v>
      </c>
      <c r="J61" s="49"/>
    </row>
    <row r="62" spans="1:10" x14ac:dyDescent="0.3">
      <c r="A62" s="45">
        <v>1988</v>
      </c>
      <c r="B62" s="46">
        <v>0.16539999999999999</v>
      </c>
      <c r="C62" s="46">
        <v>8.2199999999999995E-2</v>
      </c>
      <c r="D62" s="46">
        <v>4.4200000000000003E-2</v>
      </c>
      <c r="E62" s="46">
        <f t="shared" si="0"/>
        <v>4.3251041994314954E-2</v>
      </c>
      <c r="F62" s="47" t="s">
        <v>96</v>
      </c>
      <c r="J62" s="49"/>
    </row>
    <row r="63" spans="1:10" x14ac:dyDescent="0.3">
      <c r="A63" s="45">
        <v>1989</v>
      </c>
      <c r="B63" s="46">
        <v>0.31480000000000002</v>
      </c>
      <c r="C63" s="46">
        <v>0.1769</v>
      </c>
      <c r="D63" s="46">
        <v>4.65E-2</v>
      </c>
      <c r="E63" s="46">
        <f t="shared" si="0"/>
        <v>4.5451262903917357E-2</v>
      </c>
      <c r="F63" s="47" t="s">
        <v>97</v>
      </c>
      <c r="J63" s="49"/>
    </row>
    <row r="64" spans="1:10" x14ac:dyDescent="0.3">
      <c r="A64" s="45">
        <v>1990</v>
      </c>
      <c r="B64" s="46">
        <v>-3.0599999999999999E-2</v>
      </c>
      <c r="C64" s="46">
        <v>6.2399999999999997E-2</v>
      </c>
      <c r="D64" s="46">
        <v>6.1100000000000002E-2</v>
      </c>
      <c r="E64" s="46">
        <f t="shared" si="0"/>
        <v>5.9306105897407507E-2</v>
      </c>
      <c r="F64" s="47" t="s">
        <v>98</v>
      </c>
      <c r="J64" s="49"/>
    </row>
    <row r="65" spans="1:10" x14ac:dyDescent="0.3">
      <c r="A65" s="45">
        <v>1991</v>
      </c>
      <c r="B65" s="46">
        <v>0.30230000000000001</v>
      </c>
      <c r="C65" s="46">
        <v>0.15</v>
      </c>
      <c r="D65" s="46">
        <v>3.0599999999999999E-2</v>
      </c>
      <c r="E65" s="46">
        <f t="shared" si="0"/>
        <v>3.0141156911986808E-2</v>
      </c>
      <c r="F65" s="47" t="s">
        <v>99</v>
      </c>
      <c r="J65" s="49"/>
    </row>
    <row r="66" spans="1:10" x14ac:dyDescent="0.3">
      <c r="A66" s="45">
        <v>1992</v>
      </c>
      <c r="B66" s="46">
        <v>7.4899999999999994E-2</v>
      </c>
      <c r="C66" s="46">
        <v>9.3600000000000003E-2</v>
      </c>
      <c r="D66" s="46">
        <v>2.9000000000000001E-2</v>
      </c>
      <c r="E66" s="46">
        <f t="shared" si="0"/>
        <v>2.8587456851912472E-2</v>
      </c>
      <c r="F66" s="47" t="s">
        <v>100</v>
      </c>
    </row>
    <row r="67" spans="1:10" x14ac:dyDescent="0.3">
      <c r="A67" s="45">
        <v>1993</v>
      </c>
      <c r="B67" s="46">
        <v>9.9699999999999997E-2</v>
      </c>
      <c r="C67" s="46">
        <v>0.1421</v>
      </c>
      <c r="D67" s="46">
        <v>2.75E-2</v>
      </c>
      <c r="E67" s="46">
        <f t="shared" ref="E67:E98" si="1">LN(1+D67)</f>
        <v>2.7128667388252696E-2</v>
      </c>
      <c r="F67" s="47" t="s">
        <v>101</v>
      </c>
    </row>
    <row r="68" spans="1:10" x14ac:dyDescent="0.3">
      <c r="A68" s="45">
        <v>1994</v>
      </c>
      <c r="B68" s="46">
        <v>1.3299999999999999E-2</v>
      </c>
      <c r="C68" s="46">
        <v>-8.0399999999999999E-2</v>
      </c>
      <c r="D68" s="46">
        <v>2.6700000000000002E-2</v>
      </c>
      <c r="E68" s="46">
        <f t="shared" si="1"/>
        <v>2.6349775322781963E-2</v>
      </c>
      <c r="F68" s="47" t="s">
        <v>102</v>
      </c>
    </row>
    <row r="69" spans="1:10" x14ac:dyDescent="0.3">
      <c r="A69" s="45">
        <v>1995</v>
      </c>
      <c r="B69" s="46">
        <v>0.372</v>
      </c>
      <c r="C69" s="46">
        <v>0.23480000000000001</v>
      </c>
      <c r="D69" s="46">
        <v>2.5399999999999999E-2</v>
      </c>
      <c r="E69" s="46">
        <f t="shared" si="1"/>
        <v>2.5082780367463243E-2</v>
      </c>
      <c r="F69" s="47" t="s">
        <v>103</v>
      </c>
    </row>
    <row r="70" spans="1:10" x14ac:dyDescent="0.3">
      <c r="A70" s="45">
        <v>1996</v>
      </c>
      <c r="B70" s="46">
        <v>0.2268</v>
      </c>
      <c r="C70" s="46">
        <v>1.43E-2</v>
      </c>
      <c r="D70" s="46">
        <v>3.32E-2</v>
      </c>
      <c r="E70" s="46">
        <f t="shared" si="1"/>
        <v>3.2660782239548276E-2</v>
      </c>
      <c r="F70" s="47" t="s">
        <v>104</v>
      </c>
    </row>
    <row r="71" spans="1:10" x14ac:dyDescent="0.3">
      <c r="A71" s="45">
        <v>1997</v>
      </c>
      <c r="B71" s="46">
        <v>0.33100000000000002</v>
      </c>
      <c r="C71" s="46">
        <v>9.9400000000000002E-2</v>
      </c>
      <c r="D71" s="46">
        <v>1.7000000000000001E-2</v>
      </c>
      <c r="E71" s="46">
        <f t="shared" si="1"/>
        <v>1.6857117066422806E-2</v>
      </c>
      <c r="F71" s="47" t="s">
        <v>105</v>
      </c>
    </row>
    <row r="72" spans="1:10" x14ac:dyDescent="0.3">
      <c r="A72" s="45">
        <v>1998</v>
      </c>
      <c r="B72" s="46">
        <v>0.28339999999999999</v>
      </c>
      <c r="C72" s="46">
        <v>0.1492</v>
      </c>
      <c r="D72" s="46">
        <v>1.61E-2</v>
      </c>
      <c r="E72" s="46">
        <f t="shared" si="1"/>
        <v>1.5971769509698665E-2</v>
      </c>
      <c r="F72" s="47" t="s">
        <v>106</v>
      </c>
    </row>
    <row r="73" spans="1:10" x14ac:dyDescent="0.3">
      <c r="A73" s="45">
        <v>1999</v>
      </c>
      <c r="B73" s="46">
        <v>0.2089</v>
      </c>
      <c r="C73" s="46">
        <v>-8.2500000000000004E-2</v>
      </c>
      <c r="D73" s="46">
        <v>2.6800000000000001E-2</v>
      </c>
      <c r="E73" s="46">
        <f t="shared" si="1"/>
        <v>2.6447170014848229E-2</v>
      </c>
      <c r="F73" s="47" t="s">
        <v>107</v>
      </c>
    </row>
    <row r="74" spans="1:10" x14ac:dyDescent="0.3">
      <c r="A74" s="45">
        <v>2000</v>
      </c>
      <c r="B74" s="46">
        <v>-9.0300000000000005E-2</v>
      </c>
      <c r="C74" s="46">
        <v>0.1666</v>
      </c>
      <c r="D74" s="46">
        <v>3.39E-2</v>
      </c>
      <c r="E74" s="46">
        <f t="shared" si="1"/>
        <v>3.3338059610510409E-2</v>
      </c>
      <c r="F74" s="47" t="s">
        <v>108</v>
      </c>
    </row>
    <row r="75" spans="1:10" x14ac:dyDescent="0.3">
      <c r="A75" s="45">
        <v>2001</v>
      </c>
      <c r="B75" s="46">
        <v>-0.11849999999999999</v>
      </c>
      <c r="C75" s="46">
        <v>5.57E-2</v>
      </c>
      <c r="D75" s="46">
        <v>1.55E-2</v>
      </c>
      <c r="E75" s="46">
        <f t="shared" si="1"/>
        <v>1.5381102038302391E-2</v>
      </c>
      <c r="F75" s="47" t="s">
        <v>109</v>
      </c>
    </row>
    <row r="76" spans="1:10" x14ac:dyDescent="0.3">
      <c r="A76" s="45">
        <v>2002</v>
      </c>
      <c r="B76" s="46">
        <v>-0.21970000000000001</v>
      </c>
      <c r="C76" s="46">
        <v>0.1512</v>
      </c>
      <c r="D76" s="46">
        <v>2.3800000000000002E-2</v>
      </c>
      <c r="E76" s="46">
        <f t="shared" si="1"/>
        <v>2.3521195041345866E-2</v>
      </c>
      <c r="F76" s="47" t="s">
        <v>110</v>
      </c>
    </row>
    <row r="77" spans="1:10" x14ac:dyDescent="0.3">
      <c r="A77" s="45">
        <v>2003</v>
      </c>
      <c r="B77" s="46">
        <v>0.28360000000000002</v>
      </c>
      <c r="C77" s="46">
        <v>3.8E-3</v>
      </c>
      <c r="D77" s="46">
        <v>1.8800000000000001E-2</v>
      </c>
      <c r="E77" s="46">
        <f t="shared" si="1"/>
        <v>1.862546412316482E-2</v>
      </c>
      <c r="F77" s="47" t="s">
        <v>111</v>
      </c>
    </row>
    <row r="78" spans="1:10" x14ac:dyDescent="0.3">
      <c r="A78" s="45">
        <v>2004</v>
      </c>
      <c r="B78" s="46">
        <v>0.1074</v>
      </c>
      <c r="C78" s="46">
        <v>4.4900000000000002E-2</v>
      </c>
      <c r="D78" s="46">
        <v>3.2599999999999997E-2</v>
      </c>
      <c r="E78" s="46">
        <f t="shared" si="1"/>
        <v>3.2079893463411648E-2</v>
      </c>
      <c r="F78" s="47" t="s">
        <v>112</v>
      </c>
    </row>
    <row r="79" spans="1:10" x14ac:dyDescent="0.3">
      <c r="A79" s="45">
        <v>2005</v>
      </c>
      <c r="B79" s="46">
        <v>4.8300000000000003E-2</v>
      </c>
      <c r="C79" s="46">
        <v>2.87E-2</v>
      </c>
      <c r="D79" s="46">
        <v>3.4200000000000001E-2</v>
      </c>
      <c r="E79" s="46">
        <f t="shared" si="1"/>
        <v>3.362818097998406E-2</v>
      </c>
      <c r="F79" s="47" t="s">
        <v>113</v>
      </c>
    </row>
    <row r="80" spans="1:10" x14ac:dyDescent="0.3">
      <c r="A80" s="45">
        <v>2006</v>
      </c>
      <c r="B80" s="46">
        <v>0.15609999999999999</v>
      </c>
      <c r="C80" s="46">
        <v>1.9599999999999999E-2</v>
      </c>
      <c r="D80" s="46">
        <v>2.5399999999999999E-2</v>
      </c>
      <c r="E80" s="46">
        <f t="shared" si="1"/>
        <v>2.5082780367463243E-2</v>
      </c>
      <c r="F80" s="47" t="s">
        <v>114</v>
      </c>
    </row>
    <row r="81" spans="1:6" x14ac:dyDescent="0.3">
      <c r="A81" s="45">
        <v>2007</v>
      </c>
      <c r="B81" s="46">
        <v>5.4800000000000001E-2</v>
      </c>
      <c r="C81" s="46">
        <v>0.1021</v>
      </c>
      <c r="D81" s="46">
        <v>4.0800000000000003E-2</v>
      </c>
      <c r="E81" s="46">
        <f t="shared" si="1"/>
        <v>3.9989648216158413E-2</v>
      </c>
      <c r="F81" s="47" t="s">
        <v>115</v>
      </c>
    </row>
    <row r="82" spans="1:6" x14ac:dyDescent="0.3">
      <c r="A82" s="45">
        <v>2008</v>
      </c>
      <c r="B82" s="46">
        <v>-0.36549999999999999</v>
      </c>
      <c r="C82" s="46">
        <v>0.20100000000000001</v>
      </c>
      <c r="D82" s="46">
        <v>8.9999999999999998E-4</v>
      </c>
      <c r="E82" s="46">
        <f t="shared" si="1"/>
        <v>8.9959524283599393E-4</v>
      </c>
      <c r="F82" s="47" t="s">
        <v>116</v>
      </c>
    </row>
    <row r="83" spans="1:6" x14ac:dyDescent="0.3">
      <c r="A83" s="45">
        <v>2009</v>
      </c>
      <c r="B83" s="46">
        <v>0.25940000000000002</v>
      </c>
      <c r="C83" s="46">
        <v>-0.11119999999999999</v>
      </c>
      <c r="D83" s="46">
        <v>2.7199999999999998E-2</v>
      </c>
      <c r="E83" s="46">
        <f t="shared" si="1"/>
        <v>2.683665395355957E-2</v>
      </c>
      <c r="F83" s="47" t="s">
        <v>117</v>
      </c>
    </row>
    <row r="84" spans="1:6" x14ac:dyDescent="0.3">
      <c r="A84" s="45">
        <v>2010</v>
      </c>
      <c r="B84" s="46">
        <v>0.1482</v>
      </c>
      <c r="C84" s="46">
        <v>8.4599999999999995E-2</v>
      </c>
      <c r="D84" s="46">
        <v>1.4999999999999999E-2</v>
      </c>
      <c r="E84" s="46">
        <f t="shared" si="1"/>
        <v>1.4888612493750559E-2</v>
      </c>
      <c r="F84" s="47" t="s">
        <v>118</v>
      </c>
    </row>
    <row r="85" spans="1:6" x14ac:dyDescent="0.3">
      <c r="A85" s="45">
        <v>2011</v>
      </c>
      <c r="B85" s="46">
        <v>2.1000000000000001E-2</v>
      </c>
      <c r="C85" s="46">
        <v>0.16039999999999999</v>
      </c>
      <c r="D85" s="46">
        <v>2.9600000000000001E-2</v>
      </c>
      <c r="E85" s="46">
        <f t="shared" si="1"/>
        <v>2.9170377299779924E-2</v>
      </c>
      <c r="F85" s="47" t="s">
        <v>119</v>
      </c>
    </row>
    <row r="86" spans="1:6" x14ac:dyDescent="0.3">
      <c r="A86" s="45">
        <v>2012</v>
      </c>
      <c r="B86" s="46">
        <v>0.15890000000000001</v>
      </c>
      <c r="C86" s="46">
        <v>2.9700000000000001E-2</v>
      </c>
      <c r="D86" s="46">
        <v>1.7399999999999999E-2</v>
      </c>
      <c r="E86" s="46">
        <f t="shared" si="1"/>
        <v>1.7250353406527672E-2</v>
      </c>
      <c r="F86" s="47" t="s">
        <v>120</v>
      </c>
    </row>
    <row r="87" spans="1:6" x14ac:dyDescent="0.3">
      <c r="A87" s="45">
        <v>2013</v>
      </c>
      <c r="B87" s="46">
        <v>0.32150000000000001</v>
      </c>
      <c r="C87" s="46">
        <v>-9.0999999999999998E-2</v>
      </c>
      <c r="D87" s="46">
        <v>1.4999999999999999E-2</v>
      </c>
      <c r="E87" s="46">
        <f t="shared" si="1"/>
        <v>1.4888612493750559E-2</v>
      </c>
      <c r="F87" s="47" t="s">
        <v>121</v>
      </c>
    </row>
    <row r="88" spans="1:6" x14ac:dyDescent="0.3">
      <c r="A88" s="45">
        <v>2014</v>
      </c>
      <c r="B88" s="46">
        <v>0.13519999999999999</v>
      </c>
      <c r="C88" s="46">
        <v>0.1075</v>
      </c>
      <c r="D88" s="46">
        <v>7.6E-3</v>
      </c>
      <c r="E88" s="46">
        <f t="shared" si="1"/>
        <v>7.5712654963181261E-3</v>
      </c>
      <c r="F88" s="47" t="s">
        <v>122</v>
      </c>
    </row>
    <row r="89" spans="1:6" x14ac:dyDescent="0.3">
      <c r="A89" s="45">
        <v>2015</v>
      </c>
      <c r="B89" s="46">
        <v>1.38E-2</v>
      </c>
      <c r="C89" s="46">
        <v>1.2800000000000001E-2</v>
      </c>
      <c r="D89" s="46">
        <v>7.3000000000000001E-3</v>
      </c>
      <c r="E89" s="46">
        <f t="shared" si="1"/>
        <v>7.2734839664984697E-3</v>
      </c>
      <c r="F89" s="47" t="s">
        <v>123</v>
      </c>
    </row>
    <row r="90" spans="1:6" x14ac:dyDescent="0.3">
      <c r="A90" s="45">
        <v>2016</v>
      </c>
      <c r="B90" s="46">
        <v>0.1177</v>
      </c>
      <c r="C90" s="46">
        <v>6.8999999999999999E-3</v>
      </c>
      <c r="D90" s="46">
        <v>2.07E-2</v>
      </c>
      <c r="E90" s="46">
        <f t="shared" si="1"/>
        <v>2.0488666427315602E-2</v>
      </c>
      <c r="F90" s="47" t="s">
        <v>124</v>
      </c>
    </row>
    <row r="91" spans="1:6" x14ac:dyDescent="0.3">
      <c r="A91" s="45">
        <v>2017</v>
      </c>
      <c r="B91" s="46">
        <v>0.21609999999999999</v>
      </c>
      <c r="C91" s="46">
        <v>2.8000000000000001E-2</v>
      </c>
      <c r="D91" s="46">
        <v>2.1100000000000001E-2</v>
      </c>
      <c r="E91" s="46">
        <f t="shared" si="1"/>
        <v>2.0880477579355131E-2</v>
      </c>
      <c r="F91" s="47" t="s">
        <v>125</v>
      </c>
    </row>
    <row r="92" spans="1:6" x14ac:dyDescent="0.3">
      <c r="A92" s="45">
        <v>2018</v>
      </c>
      <c r="B92" s="46">
        <v>-4.2299999999999997E-2</v>
      </c>
      <c r="C92" s="46">
        <v>-2.0000000000000001E-4</v>
      </c>
      <c r="D92" s="46">
        <v>1.9099999999999999E-2</v>
      </c>
      <c r="E92" s="46">
        <f t="shared" si="1"/>
        <v>1.8919884852510768E-2</v>
      </c>
      <c r="F92" s="47" t="s">
        <v>126</v>
      </c>
    </row>
    <row r="93" spans="1:6" x14ac:dyDescent="0.3">
      <c r="A93" s="45">
        <v>2019</v>
      </c>
      <c r="B93" s="46">
        <v>0.31209999999999999</v>
      </c>
      <c r="C93" s="46">
        <v>9.64E-2</v>
      </c>
      <c r="D93" s="46">
        <v>2.29E-2</v>
      </c>
      <c r="E93" s="46">
        <f t="shared" si="1"/>
        <v>2.2641730480824573E-2</v>
      </c>
      <c r="F93" s="47" t="s">
        <v>127</v>
      </c>
    </row>
    <row r="94" spans="1:6" x14ac:dyDescent="0.3">
      <c r="A94" s="45">
        <v>2020</v>
      </c>
      <c r="B94" s="46">
        <v>0.1802</v>
      </c>
      <c r="C94" s="46">
        <v>0.1133</v>
      </c>
      <c r="D94" s="46">
        <v>1.3599999999999999E-2</v>
      </c>
      <c r="E94" s="46">
        <f t="shared" si="1"/>
        <v>1.3508350024792299E-2</v>
      </c>
      <c r="F94" s="47" t="s">
        <v>128</v>
      </c>
    </row>
    <row r="95" spans="1:6" x14ac:dyDescent="0.3">
      <c r="A95" s="45">
        <v>2021</v>
      </c>
      <c r="B95" s="46">
        <v>0.28470000000000001</v>
      </c>
      <c r="C95" s="46">
        <v>-4.4200000000000003E-2</v>
      </c>
      <c r="D95" s="46">
        <v>7.0400000000000004E-2</v>
      </c>
      <c r="E95" s="46">
        <f t="shared" si="1"/>
        <v>6.8032410391826975E-2</v>
      </c>
      <c r="F95" s="47" t="s">
        <v>129</v>
      </c>
    </row>
    <row r="96" spans="1:6" x14ac:dyDescent="0.3">
      <c r="A96" s="45">
        <v>2022</v>
      </c>
      <c r="B96" s="46">
        <v>-0.1804</v>
      </c>
      <c r="C96" s="46">
        <v>-0.17829999999999999</v>
      </c>
      <c r="D96" s="46">
        <v>6.4500000000000002E-2</v>
      </c>
      <c r="E96" s="46">
        <f t="shared" si="1"/>
        <v>6.2505205351397114E-2</v>
      </c>
      <c r="F96" s="47" t="s">
        <v>130</v>
      </c>
    </row>
    <row r="97" spans="1:6" x14ac:dyDescent="0.3">
      <c r="A97" s="45">
        <v>2023</v>
      </c>
      <c r="B97" s="46">
        <v>0.2606</v>
      </c>
      <c r="C97" s="46">
        <v>3.8800000000000001E-2</v>
      </c>
      <c r="D97" s="46">
        <v>3.3500000000000002E-2</v>
      </c>
      <c r="E97" s="46">
        <f t="shared" si="1"/>
        <v>3.2951100139685982E-2</v>
      </c>
      <c r="F97" s="47" t="s">
        <v>131</v>
      </c>
    </row>
    <row r="98" spans="1:6" x14ac:dyDescent="0.3">
      <c r="A98" s="45">
        <v>2024</v>
      </c>
      <c r="B98" s="46">
        <v>0.24879999999999999</v>
      </c>
      <c r="C98" s="46">
        <v>-1.6400000000000001E-2</v>
      </c>
      <c r="D98" s="46">
        <v>2.75E-2</v>
      </c>
      <c r="E98" s="46">
        <f t="shared" si="1"/>
        <v>2.7128667388252696E-2</v>
      </c>
      <c r="F98" s="47" t="s">
        <v>132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E8922-1305-4EAD-B257-45C1A24EFFA7}">
  <sheetPr codeName="Sheet2"/>
  <dimension ref="B2:I32"/>
  <sheetViews>
    <sheetView zoomScale="151" zoomScaleNormal="205" workbookViewId="0">
      <selection activeCell="C12" sqref="C12"/>
    </sheetView>
  </sheetViews>
  <sheetFormatPr defaultRowHeight="14.4" x14ac:dyDescent="0.3"/>
  <cols>
    <col min="2" max="2" width="14.6640625" customWidth="1"/>
    <col min="3" max="3" width="17.44140625" customWidth="1"/>
    <col min="5" max="5" width="11" customWidth="1"/>
    <col min="6" max="6" width="19.5546875" customWidth="1"/>
    <col min="8" max="8" width="16.44140625" customWidth="1"/>
    <col min="9" max="9" width="16.6640625" customWidth="1"/>
  </cols>
  <sheetData>
    <row r="2" spans="2:9" x14ac:dyDescent="0.3">
      <c r="B2" s="10" t="s">
        <v>33</v>
      </c>
    </row>
    <row r="4" spans="2:9" x14ac:dyDescent="0.3">
      <c r="B4" s="13" t="s">
        <v>0</v>
      </c>
      <c r="C4" s="14">
        <v>1000000</v>
      </c>
    </row>
    <row r="5" spans="2:9" x14ac:dyDescent="0.3">
      <c r="B5" s="15" t="s">
        <v>5</v>
      </c>
      <c r="C5" s="23">
        <v>0.04</v>
      </c>
    </row>
    <row r="6" spans="2:9" x14ac:dyDescent="0.3">
      <c r="C6" s="4"/>
      <c r="E6" s="10" t="s">
        <v>32</v>
      </c>
      <c r="H6" s="10" t="s">
        <v>35</v>
      </c>
    </row>
    <row r="7" spans="2:9" x14ac:dyDescent="0.3">
      <c r="B7" s="13" t="s">
        <v>10</v>
      </c>
      <c r="C7" s="17">
        <v>0.6</v>
      </c>
      <c r="H7" s="10"/>
    </row>
    <row r="8" spans="2:9" x14ac:dyDescent="0.3">
      <c r="B8" s="15" t="s">
        <v>9</v>
      </c>
      <c r="C8" s="18">
        <f>1-C7</f>
        <v>0.4</v>
      </c>
      <c r="E8" s="24" t="s">
        <v>36</v>
      </c>
      <c r="F8" s="25">
        <f ca="1">COUNTIF(Simulations!C2:C3001, 1)/3000</f>
        <v>0.98166666666666669</v>
      </c>
      <c r="H8" s="11" t="s">
        <v>23</v>
      </c>
      <c r="I8" s="39">
        <f ca="1">'r1'!N41</f>
        <v>2586415.2633402385</v>
      </c>
    </row>
    <row r="9" spans="2:9" x14ac:dyDescent="0.3">
      <c r="H9" s="11" t="s">
        <v>34</v>
      </c>
      <c r="I9" s="40" t="str">
        <f ca="1">IF(COUNTIF('r1'!$P$12:$P$41, "&gt;0") &gt; 0, MIN('r1'!$P$12:$P$41), "Survived")</f>
        <v>Survived</v>
      </c>
    </row>
    <row r="10" spans="2:9" x14ac:dyDescent="0.3">
      <c r="B10" s="13" t="s">
        <v>29</v>
      </c>
      <c r="C10" s="17">
        <v>1994</v>
      </c>
      <c r="E10" s="13" t="s">
        <v>23</v>
      </c>
      <c r="F10" s="26"/>
    </row>
    <row r="11" spans="2:9" x14ac:dyDescent="0.3">
      <c r="B11" s="15" t="s">
        <v>30</v>
      </c>
      <c r="C11" s="18">
        <v>2024</v>
      </c>
      <c r="E11" s="19" t="s">
        <v>6</v>
      </c>
      <c r="F11" s="27">
        <f ca="1">AVERAGE(Simulations!B$2:B$3001)</f>
        <v>6240378.3999411371</v>
      </c>
    </row>
    <row r="12" spans="2:9" x14ac:dyDescent="0.3">
      <c r="E12" s="19" t="s">
        <v>7</v>
      </c>
      <c r="F12" s="27">
        <f ca="1">_xlfn.STDEV.S(Simulations!B$2:B$3001)</f>
        <v>5255668.39669195</v>
      </c>
    </row>
    <row r="13" spans="2:9" x14ac:dyDescent="0.3">
      <c r="B13" s="13" t="s">
        <v>8</v>
      </c>
      <c r="C13" s="17"/>
      <c r="E13" s="28" t="s">
        <v>3</v>
      </c>
      <c r="F13" s="29">
        <f ca="1">MEDIAN(Simulations!B$2:B$3001)</f>
        <v>4931098.8027360197</v>
      </c>
    </row>
    <row r="14" spans="2:9" x14ac:dyDescent="0.3">
      <c r="B14" s="19" t="s">
        <v>6</v>
      </c>
      <c r="C14" s="22">
        <f>Historical!J12</f>
        <v>2.4866166624196325E-2</v>
      </c>
      <c r="E14" s="12"/>
      <c r="F14" s="7"/>
    </row>
    <row r="15" spans="2:9" x14ac:dyDescent="0.3">
      <c r="B15" s="15" t="s">
        <v>7</v>
      </c>
      <c r="C15" s="23">
        <f>Historical!J13</f>
        <v>1.3887905852197562E-2</v>
      </c>
      <c r="E15" s="30" t="s">
        <v>4</v>
      </c>
      <c r="F15" s="31"/>
    </row>
    <row r="16" spans="2:9" x14ac:dyDescent="0.3">
      <c r="E16" s="32">
        <v>0.05</v>
      </c>
      <c r="F16" s="27">
        <f ca="1">_xlfn.PERCENTILE.INC(Simulations!B$2:B$3001, Control!E16)</f>
        <v>615945.1621201263</v>
      </c>
    </row>
    <row r="17" spans="2:6" x14ac:dyDescent="0.3">
      <c r="B17" s="13" t="s">
        <v>1</v>
      </c>
      <c r="C17" s="17"/>
      <c r="E17" s="32">
        <v>0.25</v>
      </c>
      <c r="F17" s="27">
        <f ca="1">_xlfn.PERCENTILE.INC(Simulations!B$2:B$3001, Control!E17)</f>
        <v>2657605.5746135963</v>
      </c>
    </row>
    <row r="18" spans="2:6" x14ac:dyDescent="0.3">
      <c r="B18" s="19" t="s">
        <v>6</v>
      </c>
      <c r="C18" s="20">
        <f>Historical!J6</f>
        <v>0.1208741935483871</v>
      </c>
      <c r="E18" s="32">
        <v>0.5</v>
      </c>
      <c r="F18" s="27">
        <f ca="1">_xlfn.PERCENTILE.INC(Simulations!B$2:B$3001, Control!E18)</f>
        <v>4931098.8027360197</v>
      </c>
    </row>
    <row r="19" spans="2:6" x14ac:dyDescent="0.3">
      <c r="B19" s="15" t="s">
        <v>7</v>
      </c>
      <c r="C19" s="21">
        <f>Historical!J7</f>
        <v>0.17969553689086057</v>
      </c>
      <c r="E19" s="32">
        <v>0.75</v>
      </c>
      <c r="F19" s="27">
        <f ca="1">_xlfn.PERCENTILE.INC(Simulations!B$2:B$3001, Control!E19)</f>
        <v>8226609.9302752018</v>
      </c>
    </row>
    <row r="20" spans="2:6" x14ac:dyDescent="0.3">
      <c r="E20" s="32">
        <v>0.95</v>
      </c>
      <c r="F20" s="27">
        <f ca="1">_xlfn.PERCENTILE.INC(Simulations!B$2:B$3001, Control!E20)</f>
        <v>16362184.703459904</v>
      </c>
    </row>
    <row r="21" spans="2:6" x14ac:dyDescent="0.3">
      <c r="B21" s="13" t="s">
        <v>11</v>
      </c>
      <c r="C21" s="17"/>
      <c r="E21" s="33">
        <v>0.99</v>
      </c>
      <c r="F21" s="27">
        <f ca="1">_xlfn.PERCENTILE.INC(Simulations!B$2:B$3001, Control!E21)</f>
        <v>24956259.198250495</v>
      </c>
    </row>
    <row r="22" spans="2:6" x14ac:dyDescent="0.3">
      <c r="B22" s="19" t="s">
        <v>6</v>
      </c>
      <c r="C22" s="22">
        <f>Historical!J9</f>
        <v>4.340322580645161E-2</v>
      </c>
    </row>
    <row r="23" spans="2:6" x14ac:dyDescent="0.3">
      <c r="B23" s="15" t="s">
        <v>7</v>
      </c>
      <c r="C23" s="23">
        <f>Historical!J10</f>
        <v>9.5698392476470814E-2</v>
      </c>
    </row>
    <row r="25" spans="2:6" x14ac:dyDescent="0.3">
      <c r="B25" t="s">
        <v>133</v>
      </c>
      <c r="C25" s="51" t="str">
        <f>Historical!J15</f>
        <v>  20.22</v>
      </c>
    </row>
    <row r="32" spans="2:6" x14ac:dyDescent="0.3">
      <c r="F32" s="4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calculateSimulations">
                <anchor moveWithCells="1" sizeWithCells="1">
                  <from>
                    <xdr:col>4</xdr:col>
                    <xdr:colOff>22860</xdr:colOff>
                    <xdr:row>1</xdr:row>
                    <xdr:rowOff>22860</xdr:rowOff>
                  </from>
                  <to>
                    <xdr:col>6</xdr:col>
                    <xdr:colOff>594360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4BF78-6165-4B94-988D-0B324719F124}">
  <sheetPr codeName="Sheet3"/>
  <dimension ref="B3:X10040"/>
  <sheetViews>
    <sheetView topLeftCell="A4" zoomScale="108" zoomScaleNormal="190" workbookViewId="0">
      <selection activeCell="I4" sqref="I4"/>
    </sheetView>
  </sheetViews>
  <sheetFormatPr defaultRowHeight="14.4" x14ac:dyDescent="0.3"/>
  <cols>
    <col min="2" max="2" width="6.109375" customWidth="1"/>
    <col min="3" max="3" width="12" hidden="1" customWidth="1"/>
    <col min="4" max="4" width="12.6640625" hidden="1" customWidth="1"/>
    <col min="5" max="5" width="12.109375" customWidth="1"/>
    <col min="6" max="6" width="13.88671875" customWidth="1"/>
    <col min="7" max="7" width="13.33203125" customWidth="1"/>
    <col min="8" max="9" width="11.33203125" customWidth="1"/>
    <col min="10" max="10" width="9.6640625" customWidth="1"/>
    <col min="11" max="11" width="11.6640625" customWidth="1"/>
    <col min="12" max="12" width="20.33203125" customWidth="1"/>
    <col min="13" max="13" width="13.33203125" customWidth="1"/>
    <col min="14" max="14" width="16.44140625" customWidth="1"/>
    <col min="15" max="15" width="14.44140625" customWidth="1"/>
    <col min="16" max="16" width="14.33203125" customWidth="1"/>
    <col min="18" max="18" width="13.88671875" customWidth="1"/>
    <col min="19" max="19" width="15" customWidth="1"/>
    <col min="20" max="20" width="11.33203125" customWidth="1"/>
    <col min="24" max="24" width="17.6640625" customWidth="1"/>
  </cols>
  <sheetData>
    <row r="3" spans="2:16" x14ac:dyDescent="0.3">
      <c r="E3" s="13" t="s">
        <v>0</v>
      </c>
      <c r="F3" s="14">
        <f>Control!C4</f>
        <v>1000000</v>
      </c>
      <c r="H3" s="13" t="s">
        <v>10</v>
      </c>
      <c r="I3" s="17">
        <f>Control!C7</f>
        <v>0.6</v>
      </c>
    </row>
    <row r="4" spans="2:16" x14ac:dyDescent="0.3">
      <c r="E4" s="15" t="s">
        <v>5</v>
      </c>
      <c r="F4" s="16">
        <f>Control!C5</f>
        <v>0.04</v>
      </c>
      <c r="H4" s="15" t="s">
        <v>9</v>
      </c>
      <c r="I4" s="18">
        <f>Control!C8</f>
        <v>0.4</v>
      </c>
    </row>
    <row r="5" spans="2:16" x14ac:dyDescent="0.3">
      <c r="F5" s="4"/>
    </row>
    <row r="6" spans="2:16" x14ac:dyDescent="0.3">
      <c r="E6" s="13" t="s">
        <v>1</v>
      </c>
      <c r="F6" s="17"/>
      <c r="H6" s="13" t="s">
        <v>11</v>
      </c>
      <c r="I6" s="17"/>
      <c r="K6" s="13" t="s">
        <v>8</v>
      </c>
      <c r="L6" s="17"/>
    </row>
    <row r="7" spans="2:16" x14ac:dyDescent="0.3">
      <c r="E7" s="19" t="s">
        <v>6</v>
      </c>
      <c r="F7" s="20">
        <f>Control!C18</f>
        <v>0.1208741935483871</v>
      </c>
      <c r="H7" s="19" t="s">
        <v>6</v>
      </c>
      <c r="I7" s="22">
        <f>Control!C22</f>
        <v>4.340322580645161E-2</v>
      </c>
      <c r="K7" s="44" t="s">
        <v>135</v>
      </c>
      <c r="L7" s="22">
        <f>Control!C14</f>
        <v>2.4866166624196325E-2</v>
      </c>
    </row>
    <row r="8" spans="2:16" x14ac:dyDescent="0.3">
      <c r="E8" s="15" t="s">
        <v>7</v>
      </c>
      <c r="F8" s="21">
        <f>Control!C19</f>
        <v>0.17969553689086057</v>
      </c>
      <c r="H8" s="15" t="s">
        <v>7</v>
      </c>
      <c r="I8" s="23">
        <f>Control!C23</f>
        <v>9.5698392476470814E-2</v>
      </c>
      <c r="K8" s="44" t="s">
        <v>136</v>
      </c>
      <c r="L8" s="23">
        <f>Control!C15</f>
        <v>1.3887905852197562E-2</v>
      </c>
    </row>
    <row r="11" spans="2:16" x14ac:dyDescent="0.3">
      <c r="B11" s="36" t="s">
        <v>2</v>
      </c>
      <c r="C11" s="36" t="s">
        <v>13</v>
      </c>
      <c r="D11" s="11" t="s">
        <v>14</v>
      </c>
      <c r="E11" s="11" t="s">
        <v>17</v>
      </c>
      <c r="F11" s="11" t="s">
        <v>12</v>
      </c>
      <c r="G11" s="11" t="s">
        <v>31</v>
      </c>
      <c r="H11" s="11" t="s">
        <v>15</v>
      </c>
      <c r="I11" s="11" t="s">
        <v>16</v>
      </c>
      <c r="J11" s="11" t="s">
        <v>19</v>
      </c>
      <c r="K11" s="11" t="s">
        <v>18</v>
      </c>
      <c r="L11" s="11" t="s">
        <v>20</v>
      </c>
      <c r="M11" s="11" t="s">
        <v>22</v>
      </c>
      <c r="N11" s="11" t="s">
        <v>21</v>
      </c>
      <c r="O11" s="11" t="s">
        <v>37</v>
      </c>
      <c r="P11" s="11" t="s">
        <v>34</v>
      </c>
    </row>
    <row r="12" spans="2:16" x14ac:dyDescent="0.3">
      <c r="B12" s="37">
        <v>1</v>
      </c>
      <c r="C12" s="36">
        <f ca="1">_xlfn.NORM.S.INV(RAND())</f>
        <v>-0.61055894743533312</v>
      </c>
      <c r="D12" s="36">
        <f t="shared" ref="C12:D41" ca="1" si="0">_xlfn.NORM.S.INV(RAND())</f>
        <v>0.81295966014720689</v>
      </c>
      <c r="E12" s="35">
        <f ca="1">EXP(_xlfn.NORM.INV(RAND(),$L$7,$L$8))-1</f>
        <v>1.4506763864292616E-2</v>
      </c>
      <c r="F12" s="35">
        <f t="shared" ref="F12:F41" ca="1" si="1" xml:space="preserve"> ($F$7+$F$8*C12)</f>
        <v>1.1159475685476206E-2</v>
      </c>
      <c r="G12" s="52">
        <f t="shared" ref="G12:G41" ca="1" si="2">IF(F12 &lt; -0.2, -0.85,
   IF(E12 &gt; 0.08, 0.39, -0.13))</f>
        <v>-0.13</v>
      </c>
      <c r="H12" s="35">
        <f t="shared" ref="H12:H41" ca="1" si="3">($I$7+$I$8*(G12*C12+(1-G12^2)^0.5*D12))</f>
        <v>0.12813779248164858</v>
      </c>
      <c r="I12" s="38">
        <f t="shared" ref="I12:I41" ca="1" si="4">(F12*$I$3)+(H12*$I$4)</f>
        <v>5.7950802403945158E-2</v>
      </c>
      <c r="J12" s="11">
        <v>1</v>
      </c>
      <c r="K12" s="34">
        <f>($F$4*L12)*J12</f>
        <v>40000</v>
      </c>
      <c r="L12" s="34">
        <f>F3</f>
        <v>1000000</v>
      </c>
      <c r="M12" s="34">
        <f t="shared" ref="M12:M41" si="5">MIN(K12,L12)</f>
        <v>40000</v>
      </c>
      <c r="N12" s="39">
        <f t="shared" ref="N12:N41" ca="1" si="6">(L12-M12)*(1+I12)</f>
        <v>1015632.7703077875</v>
      </c>
      <c r="O12" s="11">
        <f t="shared" ref="O12:O41" si="7">IF(M12&lt;K12, 0, 1)</f>
        <v>1</v>
      </c>
      <c r="P12" s="42" t="str">
        <f ca="1">IF(AND(N12 &lt;= 0, O12 = 0, COUNTIF($P$11:P11, "&gt;0") = 0), B12, "")</f>
        <v/>
      </c>
    </row>
    <row r="13" spans="2:16" x14ac:dyDescent="0.3">
      <c r="B13" s="37">
        <v>2</v>
      </c>
      <c r="C13" s="36">
        <f t="shared" ca="1" si="0"/>
        <v>0.6145290320065192</v>
      </c>
      <c r="D13" s="36">
        <f t="shared" ca="1" si="0"/>
        <v>0.35573539795590714</v>
      </c>
      <c r="E13" s="35">
        <f t="shared" ref="E13:E41" ca="1" si="8">EXP(_xlfn.NORM.INV(RAND(),$L$7,$L$8))-1</f>
        <v>2.5819781125236529E-2</v>
      </c>
      <c r="F13" s="35">
        <f t="shared" ca="1" si="1"/>
        <v>0.23130231788981942</v>
      </c>
      <c r="G13" s="52">
        <f t="shared" ca="1" si="2"/>
        <v>-0.13</v>
      </c>
      <c r="H13" s="35">
        <f t="shared" ca="1" si="3"/>
        <v>6.9512412571891502E-2</v>
      </c>
      <c r="I13" s="38">
        <f t="shared" ca="1" si="4"/>
        <v>0.16658635576264824</v>
      </c>
      <c r="J13" s="11">
        <f t="shared" ref="J13:J41" ca="1" si="9">J12*(1+E13)</f>
        <v>1.0258197811252365</v>
      </c>
      <c r="K13" s="34">
        <f t="shared" ref="K13:K41" ca="1" si="10">($F$4*$F$3)*J13</f>
        <v>41032.791245009459</v>
      </c>
      <c r="L13" s="39">
        <f t="shared" ref="L13:L41" ca="1" si="11">(N12)</f>
        <v>1015632.7703077875</v>
      </c>
      <c r="M13" s="34">
        <f t="shared" ca="1" si="5"/>
        <v>41032.791245009459</v>
      </c>
      <c r="N13" s="39">
        <f t="shared" ca="1" si="6"/>
        <v>1136955.0379011994</v>
      </c>
      <c r="O13" s="11">
        <f t="shared" ca="1" si="7"/>
        <v>1</v>
      </c>
      <c r="P13" s="42" t="str">
        <f ca="1">IF(AND(N13 &lt;= 0, O13 = 0, COUNTIF($P$11:P12, "&gt;0") = 0), B13, "")</f>
        <v/>
      </c>
    </row>
    <row r="14" spans="2:16" x14ac:dyDescent="0.3">
      <c r="B14" s="37">
        <v>3</v>
      </c>
      <c r="C14" s="36">
        <f t="shared" ca="1" si="0"/>
        <v>-1.5127936623452749</v>
      </c>
      <c r="D14" s="36">
        <f t="shared" ca="1" si="0"/>
        <v>0.94947183804467539</v>
      </c>
      <c r="E14" s="35">
        <f t="shared" ca="1" si="8"/>
        <v>1.7653646031700276E-2</v>
      </c>
      <c r="F14" s="35">
        <f t="shared" ca="1" si="1"/>
        <v>-0.15096807581183833</v>
      </c>
      <c r="G14" s="52">
        <f t="shared" ca="1" si="2"/>
        <v>-0.13</v>
      </c>
      <c r="H14" s="35">
        <f t="shared" ca="1" si="3"/>
        <v>0.15231544085061613</v>
      </c>
      <c r="I14" s="38">
        <f t="shared" ca="1" si="4"/>
        <v>-2.9654669146856535E-2</v>
      </c>
      <c r="J14" s="11">
        <f t="shared" ca="1" si="9"/>
        <v>1.0439292404335376</v>
      </c>
      <c r="K14" s="34">
        <f t="shared" ca="1" si="10"/>
        <v>41757.169617341504</v>
      </c>
      <c r="L14" s="39">
        <f t="shared" ca="1" si="11"/>
        <v>1136955.0379011994</v>
      </c>
      <c r="M14" s="34">
        <f t="shared" ca="1" si="5"/>
        <v>41757.169617341504</v>
      </c>
      <c r="N14" s="39">
        <f t="shared" ca="1" si="6"/>
        <v>1062720.1378495574</v>
      </c>
      <c r="O14" s="11">
        <f t="shared" ca="1" si="7"/>
        <v>1</v>
      </c>
      <c r="P14" s="42" t="str">
        <f ca="1">IF(AND(N14 &lt;= 0, O14 = 0, COUNTIF($P$11:P13, "&gt;0") = 0), B14, "")</f>
        <v/>
      </c>
    </row>
    <row r="15" spans="2:16" x14ac:dyDescent="0.3">
      <c r="B15" s="37">
        <v>4</v>
      </c>
      <c r="C15" s="36">
        <f t="shared" ca="1" si="0"/>
        <v>-0.47389017941013706</v>
      </c>
      <c r="D15" s="36">
        <f t="shared" ca="1" si="0"/>
        <v>-0.90078447331553346</v>
      </c>
      <c r="E15" s="35">
        <f t="shared" ca="1" si="8"/>
        <v>5.0021390067087168E-2</v>
      </c>
      <c r="F15" s="35">
        <f t="shared" ca="1" si="1"/>
        <v>3.571824333197629E-2</v>
      </c>
      <c r="G15" s="52">
        <f t="shared" ca="1" si="2"/>
        <v>-0.13</v>
      </c>
      <c r="H15" s="35">
        <f t="shared" ca="1" si="3"/>
        <v>-3.6173307067269268E-2</v>
      </c>
      <c r="I15" s="38">
        <f t="shared" ca="1" si="4"/>
        <v>6.9616231722780635E-3</v>
      </c>
      <c r="J15" s="11">
        <f t="shared" ca="1" si="9"/>
        <v>1.0961480321717016</v>
      </c>
      <c r="K15" s="34">
        <f t="shared" ca="1" si="10"/>
        <v>43845.921286868062</v>
      </c>
      <c r="L15" s="39">
        <f t="shared" ca="1" si="11"/>
        <v>1062720.1378495574</v>
      </c>
      <c r="M15" s="34">
        <f t="shared" ca="1" si="5"/>
        <v>43845.921286868062</v>
      </c>
      <c r="N15" s="39">
        <f t="shared" ca="1" si="6"/>
        <v>1025967.2349183488</v>
      </c>
      <c r="O15" s="11">
        <f t="shared" ca="1" si="7"/>
        <v>1</v>
      </c>
      <c r="P15" s="42" t="str">
        <f ca="1">IF(AND(N15 &lt;= 0, O15 = 0, COUNTIF($P$11:P14, "&gt;0") = 0), B15, "")</f>
        <v/>
      </c>
    </row>
    <row r="16" spans="2:16" x14ac:dyDescent="0.3">
      <c r="B16" s="37">
        <v>5</v>
      </c>
      <c r="C16" s="36">
        <f t="shared" ca="1" si="0"/>
        <v>-1.426427004866609</v>
      </c>
      <c r="D16" s="36">
        <f t="shared" ca="1" si="0"/>
        <v>-1.7037240453197973</v>
      </c>
      <c r="E16" s="35">
        <f t="shared" ca="1" si="8"/>
        <v>4.2522083630313956E-2</v>
      </c>
      <c r="F16" s="35">
        <f t="shared" ca="1" si="1"/>
        <v>-0.13544837292674036</v>
      </c>
      <c r="G16" s="52">
        <f t="shared" ca="1" si="2"/>
        <v>-0.13</v>
      </c>
      <c r="H16" s="35">
        <f t="shared" ca="1" si="3"/>
        <v>-0.10051095684188219</v>
      </c>
      <c r="I16" s="38">
        <f t="shared" ca="1" si="4"/>
        <v>-0.12147340649279709</v>
      </c>
      <c r="J16" s="11">
        <f t="shared" ca="1" si="9"/>
        <v>1.1427585304669108</v>
      </c>
      <c r="K16" s="34">
        <f t="shared" ca="1" si="10"/>
        <v>45710.341218676433</v>
      </c>
      <c r="L16" s="39">
        <f t="shared" ca="1" si="11"/>
        <v>1025967.2349183488</v>
      </c>
      <c r="M16" s="34">
        <f t="shared" ca="1" si="5"/>
        <v>45710.341218676433</v>
      </c>
      <c r="N16" s="39">
        <f t="shared" ca="1" si="6"/>
        <v>861181.74958392547</v>
      </c>
      <c r="O16" s="11">
        <f t="shared" ca="1" si="7"/>
        <v>1</v>
      </c>
      <c r="P16" s="42" t="str">
        <f ca="1">IF(AND(N16 &lt;= 0, O16 = 0, COUNTIF($P$11:P15, "&gt;0") = 0), B16, "")</f>
        <v/>
      </c>
    </row>
    <row r="17" spans="2:24" x14ac:dyDescent="0.3">
      <c r="B17" s="37">
        <v>6</v>
      </c>
      <c r="C17" s="36">
        <f t="shared" ca="1" si="0"/>
        <v>-0.84285852613814383</v>
      </c>
      <c r="D17" s="36">
        <f t="shared" ca="1" si="0"/>
        <v>1.6458841237780428</v>
      </c>
      <c r="E17" s="35">
        <f t="shared" ca="1" si="8"/>
        <v>9.240567524662513E-3</v>
      </c>
      <c r="F17" s="35">
        <f t="shared" ca="1" si="1"/>
        <v>-3.058372182904609E-2</v>
      </c>
      <c r="G17" s="52">
        <f t="shared" ca="1" si="2"/>
        <v>-0.13</v>
      </c>
      <c r="H17" s="35">
        <f t="shared" ca="1" si="3"/>
        <v>0.21006089963789296</v>
      </c>
      <c r="I17" s="38">
        <f t="shared" ca="1" si="4"/>
        <v>6.5674126757729531E-2</v>
      </c>
      <c r="J17" s="11">
        <f t="shared" ca="1" si="9"/>
        <v>1.1533182678320744</v>
      </c>
      <c r="K17" s="34">
        <f t="shared" ca="1" si="10"/>
        <v>46132.730713282974</v>
      </c>
      <c r="L17" s="39">
        <f t="shared" ca="1" si="11"/>
        <v>861181.74958392547</v>
      </c>
      <c r="M17" s="34">
        <f t="shared" ca="1" si="5"/>
        <v>46132.730713282974</v>
      </c>
      <c r="N17" s="39">
        <f t="shared" ca="1" si="6"/>
        <v>868576.65144971607</v>
      </c>
      <c r="O17" s="11">
        <f t="shared" ca="1" si="7"/>
        <v>1</v>
      </c>
      <c r="P17" s="42" t="str">
        <f ca="1">IF(AND(N17 &lt;= 0, O17 = 0, COUNTIF($P$11:P16, "&gt;0") = 0), B17, "")</f>
        <v/>
      </c>
    </row>
    <row r="18" spans="2:24" x14ac:dyDescent="0.3">
      <c r="B18" s="37">
        <v>7</v>
      </c>
      <c r="C18" s="36">
        <f t="shared" ca="1" si="0"/>
        <v>-0.53736272525297135</v>
      </c>
      <c r="D18" s="36">
        <f t="shared" ca="1" si="0"/>
        <v>-0.17185118788649212</v>
      </c>
      <c r="E18" s="35">
        <f t="shared" ca="1" si="8"/>
        <v>8.5690427271785108E-3</v>
      </c>
      <c r="F18" s="35">
        <f t="shared" ca="1" si="1"/>
        <v>2.4312510128918413E-2</v>
      </c>
      <c r="G18" s="52">
        <f t="shared" ca="1" si="2"/>
        <v>-0.13</v>
      </c>
      <c r="H18" s="35">
        <f t="shared" ca="1" si="3"/>
        <v>3.3782120607806963E-2</v>
      </c>
      <c r="I18" s="38">
        <f t="shared" ca="1" si="4"/>
        <v>2.8100354320473836E-2</v>
      </c>
      <c r="J18" s="11">
        <f t="shared" ca="1" si="9"/>
        <v>1.1632011013471628</v>
      </c>
      <c r="K18" s="34">
        <f t="shared" ca="1" si="10"/>
        <v>46528.044053886515</v>
      </c>
      <c r="L18" s="39">
        <f t="shared" ca="1" si="11"/>
        <v>868576.65144971607</v>
      </c>
      <c r="M18" s="34">
        <f t="shared" ca="1" si="5"/>
        <v>46528.044053886515</v>
      </c>
      <c r="N18" s="39">
        <f t="shared" ca="1" si="6"/>
        <v>845148.46453230444</v>
      </c>
      <c r="O18" s="11">
        <f t="shared" ca="1" si="7"/>
        <v>1</v>
      </c>
      <c r="P18" s="42" t="str">
        <f ca="1">IF(AND(N18 &lt;= 0, O18 = 0, COUNTIF($P$11:P17, "&gt;0") = 0), B18, "")</f>
        <v/>
      </c>
    </row>
    <row r="19" spans="2:24" x14ac:dyDescent="0.3">
      <c r="B19" s="37">
        <v>8</v>
      </c>
      <c r="C19" s="36">
        <f t="shared" ca="1" si="0"/>
        <v>1.1017960051205695</v>
      </c>
      <c r="D19" s="36">
        <f t="shared" ca="1" si="0"/>
        <v>-1.0501884131733188</v>
      </c>
      <c r="E19" s="35">
        <f t="shared" ca="1" si="8"/>
        <v>6.7947593138451001E-3</v>
      </c>
      <c r="F19" s="35">
        <f t="shared" ca="1" si="1"/>
        <v>0.31886201823273319</v>
      </c>
      <c r="G19" s="52">
        <f t="shared" ca="1" si="2"/>
        <v>-0.13</v>
      </c>
      <c r="H19" s="35">
        <f t="shared" ca="1" si="3"/>
        <v>-6.9952475965890271E-2</v>
      </c>
      <c r="I19" s="38">
        <f t="shared" ca="1" si="4"/>
        <v>0.16333622055328378</v>
      </c>
      <c r="J19" s="11">
        <f t="shared" ca="1" si="9"/>
        <v>1.1711047728644164</v>
      </c>
      <c r="K19" s="34">
        <f t="shared" ca="1" si="10"/>
        <v>46844.190914576655</v>
      </c>
      <c r="L19" s="39">
        <f t="shared" ca="1" si="11"/>
        <v>845148.46453230444</v>
      </c>
      <c r="M19" s="34">
        <f t="shared" ca="1" si="5"/>
        <v>46844.190914576655</v>
      </c>
      <c r="N19" s="39">
        <f t="shared" ca="1" si="6"/>
        <v>928696.27652198204</v>
      </c>
      <c r="O19" s="11">
        <f t="shared" ca="1" si="7"/>
        <v>1</v>
      </c>
      <c r="P19" s="42" t="str">
        <f ca="1">IF(AND(N19 &lt;= 0, O19 = 0, COUNTIF($P$11:P18, "&gt;0") = 0), B19, "")</f>
        <v/>
      </c>
      <c r="X19" s="7"/>
    </row>
    <row r="20" spans="2:24" x14ac:dyDescent="0.3">
      <c r="B20" s="37">
        <v>9</v>
      </c>
      <c r="C20" s="36">
        <f t="shared" ca="1" si="0"/>
        <v>0.25310497433532536</v>
      </c>
      <c r="D20" s="36">
        <f t="shared" ca="1" si="0"/>
        <v>0.50196402286679598</v>
      </c>
      <c r="E20" s="35">
        <f t="shared" ca="1" si="8"/>
        <v>1.5420066120520604E-2</v>
      </c>
      <c r="F20" s="35">
        <f t="shared" ca="1" si="1"/>
        <v>0.16635602780132089</v>
      </c>
      <c r="G20" s="52">
        <f t="shared" ca="1" si="2"/>
        <v>-0.13</v>
      </c>
      <c r="H20" s="35">
        <f t="shared" ca="1" si="3"/>
        <v>8.7883906232580508E-2</v>
      </c>
      <c r="I20" s="38">
        <f t="shared" ca="1" si="4"/>
        <v>0.13496717917382473</v>
      </c>
      <c r="J20" s="11">
        <f t="shared" ca="1" si="9"/>
        <v>1.189163285896043</v>
      </c>
      <c r="K20" s="34">
        <f t="shared" ca="1" si="10"/>
        <v>47566.531435841724</v>
      </c>
      <c r="L20" s="39">
        <f t="shared" ca="1" si="11"/>
        <v>928696.27652198204</v>
      </c>
      <c r="M20" s="34">
        <f t="shared" ca="1" si="5"/>
        <v>47566.531435841724</v>
      </c>
      <c r="N20" s="39">
        <f t="shared" ca="1" si="6"/>
        <v>1000053.3412665679</v>
      </c>
      <c r="O20" s="11">
        <f t="shared" ca="1" si="7"/>
        <v>1</v>
      </c>
      <c r="P20" s="42" t="str">
        <f ca="1">IF(AND(N20 &lt;= 0, O20 = 0, COUNTIF($P$11:P19, "&gt;0") = 0), B20, "")</f>
        <v/>
      </c>
    </row>
    <row r="21" spans="2:24" x14ac:dyDescent="0.3">
      <c r="B21" s="37">
        <v>10</v>
      </c>
      <c r="C21" s="36">
        <f t="shared" ca="1" si="0"/>
        <v>-0.92203152983795233</v>
      </c>
      <c r="D21" s="36">
        <f t="shared" ca="1" si="0"/>
        <v>-0.59954407158964562</v>
      </c>
      <c r="E21" s="35">
        <f t="shared" ca="1" si="8"/>
        <v>1.3618963059109923E-2</v>
      </c>
      <c r="F21" s="35">
        <f t="shared" ca="1" si="1"/>
        <v>-4.4810757236145277E-2</v>
      </c>
      <c r="G21" s="52">
        <f t="shared" ca="1" si="2"/>
        <v>-0.13</v>
      </c>
      <c r="H21" s="35">
        <f t="shared" ca="1" si="3"/>
        <v>-2.0144884550110237E-3</v>
      </c>
      <c r="I21" s="38">
        <f t="shared" ca="1" si="4"/>
        <v>-2.7692249723691574E-2</v>
      </c>
      <c r="J21" s="11">
        <f t="shared" ca="1" si="9"/>
        <v>1.205358456757911</v>
      </c>
      <c r="K21" s="34">
        <f t="shared" ca="1" si="10"/>
        <v>48214.338270316439</v>
      </c>
      <c r="L21" s="39">
        <f t="shared" ca="1" si="11"/>
        <v>1000053.3412665679</v>
      </c>
      <c r="M21" s="34">
        <f t="shared" ca="1" si="5"/>
        <v>48214.338270316439</v>
      </c>
      <c r="N21" s="39">
        <f t="shared" ca="1" si="6"/>
        <v>925480.43962852971</v>
      </c>
      <c r="O21" s="11">
        <f t="shared" ca="1" si="7"/>
        <v>1</v>
      </c>
      <c r="P21" s="42" t="str">
        <f ca="1">IF(AND(N21 &lt;= 0, O21 = 0, COUNTIF($P$11:P20, "&gt;0") = 0), B21, "")</f>
        <v/>
      </c>
    </row>
    <row r="22" spans="2:24" x14ac:dyDescent="0.3">
      <c r="B22" s="37">
        <v>11</v>
      </c>
      <c r="C22" s="36">
        <f t="shared" ca="1" si="0"/>
        <v>0.20546889372050928</v>
      </c>
      <c r="D22" s="36">
        <f t="shared" ca="1" si="0"/>
        <v>-0.28133876903182797</v>
      </c>
      <c r="E22" s="35">
        <f t="shared" ca="1" si="8"/>
        <v>2.0111691469106852E-2</v>
      </c>
      <c r="F22" s="35">
        <f t="shared" ca="1" si="1"/>
        <v>0.1577960367198652</v>
      </c>
      <c r="G22" s="52">
        <f t="shared" ca="1" si="2"/>
        <v>-0.13</v>
      </c>
      <c r="H22" s="35">
        <f t="shared" ca="1" si="3"/>
        <v>1.4151836712214889E-2</v>
      </c>
      <c r="I22" s="38">
        <f t="shared" ca="1" si="4"/>
        <v>0.10033835671680506</v>
      </c>
      <c r="J22" s="11">
        <f t="shared" ca="1" si="9"/>
        <v>1.2296002541499049</v>
      </c>
      <c r="K22" s="34">
        <f t="shared" ca="1" si="10"/>
        <v>49184.010165996195</v>
      </c>
      <c r="L22" s="39">
        <f t="shared" ca="1" si="11"/>
        <v>925480.43962852971</v>
      </c>
      <c r="M22" s="34">
        <f t="shared" ca="1" si="5"/>
        <v>49184.010165996195</v>
      </c>
      <c r="N22" s="39">
        <f t="shared" ca="1" si="6"/>
        <v>964222.57319160784</v>
      </c>
      <c r="O22" s="11">
        <f t="shared" ca="1" si="7"/>
        <v>1</v>
      </c>
      <c r="P22" s="42" t="str">
        <f ca="1">IF(AND(N22 &lt;= 0, O22 = 0, COUNTIF($P$11:P21, "&gt;0") = 0), B22, "")</f>
        <v/>
      </c>
    </row>
    <row r="23" spans="2:24" x14ac:dyDescent="0.3">
      <c r="B23" s="37">
        <v>12</v>
      </c>
      <c r="C23" s="36">
        <f t="shared" ca="1" si="0"/>
        <v>-0.47151268509172328</v>
      </c>
      <c r="D23" s="36">
        <f t="shared" ca="1" si="0"/>
        <v>0.64876722029020928</v>
      </c>
      <c r="E23" s="35">
        <f t="shared" ca="1" si="8"/>
        <v>3.3198918621015538E-2</v>
      </c>
      <c r="F23" s="35">
        <f t="shared" ca="1" si="1"/>
        <v>3.6145468449978624E-2</v>
      </c>
      <c r="G23" s="52">
        <f t="shared" ca="1" si="2"/>
        <v>-0.13</v>
      </c>
      <c r="H23" s="35">
        <f t="shared" ca="1" si="3"/>
        <v>0.11082833465033176</v>
      </c>
      <c r="I23" s="38">
        <f t="shared" ca="1" si="4"/>
        <v>6.6018614930119887E-2</v>
      </c>
      <c r="J23" s="11">
        <f t="shared" ca="1" si="9"/>
        <v>1.2704216529238077</v>
      </c>
      <c r="K23" s="34">
        <f t="shared" ca="1" si="10"/>
        <v>50816.866116952311</v>
      </c>
      <c r="L23" s="39">
        <f t="shared" ca="1" si="11"/>
        <v>964222.57319160784</v>
      </c>
      <c r="M23" s="34">
        <f t="shared" ca="1" si="5"/>
        <v>50816.866116952311</v>
      </c>
      <c r="N23" s="39">
        <f t="shared" ca="1" si="6"/>
        <v>973707.48672499112</v>
      </c>
      <c r="O23" s="11">
        <f t="shared" ca="1" si="7"/>
        <v>1</v>
      </c>
      <c r="P23" s="42" t="str">
        <f ca="1">IF(AND(N23 &lt;= 0, O23 = 0, COUNTIF($P$11:P22, "&gt;0") = 0), B23, "")</f>
        <v/>
      </c>
    </row>
    <row r="24" spans="2:24" x14ac:dyDescent="0.3">
      <c r="B24" s="37">
        <v>13</v>
      </c>
      <c r="C24" s="36">
        <f t="shared" ca="1" si="0"/>
        <v>-0.2426771915768636</v>
      </c>
      <c r="D24" s="36">
        <f t="shared" ca="1" si="0"/>
        <v>-0.7033573030803848</v>
      </c>
      <c r="E24" s="35">
        <f t="shared" ca="1" si="8"/>
        <v>-7.3890051118177258E-3</v>
      </c>
      <c r="F24" s="35">
        <f t="shared" ca="1" si="1"/>
        <v>7.7266185316816366E-2</v>
      </c>
      <c r="G24" s="52">
        <f t="shared" ca="1" si="2"/>
        <v>-0.13</v>
      </c>
      <c r="H24" s="35">
        <f t="shared" ca="1" si="3"/>
        <v>-2.0316646749491067E-2</v>
      </c>
      <c r="I24" s="38">
        <f t="shared" ca="1" si="4"/>
        <v>3.8233052490293393E-2</v>
      </c>
      <c r="J24" s="11">
        <f t="shared" ca="1" si="9"/>
        <v>1.2610345008361898</v>
      </c>
      <c r="K24" s="34">
        <f t="shared" ca="1" si="10"/>
        <v>50441.380033447596</v>
      </c>
      <c r="L24" s="39">
        <f t="shared" ca="1" si="11"/>
        <v>973707.48672499112</v>
      </c>
      <c r="M24" s="34">
        <f t="shared" ca="1" si="5"/>
        <v>50441.380033447596</v>
      </c>
      <c r="N24" s="39">
        <f t="shared" ca="1" si="6"/>
        <v>958565.38821119012</v>
      </c>
      <c r="O24" s="11">
        <f t="shared" ca="1" si="7"/>
        <v>1</v>
      </c>
      <c r="P24" s="42" t="str">
        <f ca="1">IF(AND(N24 &lt;= 0, O24 = 0, COUNTIF($P$11:P23, "&gt;0") = 0), B24, "")</f>
        <v/>
      </c>
    </row>
    <row r="25" spans="2:24" x14ac:dyDescent="0.3">
      <c r="B25" s="37">
        <v>14</v>
      </c>
      <c r="C25" s="36">
        <f t="shared" ca="1" si="0"/>
        <v>1.3164739472274309</v>
      </c>
      <c r="D25" s="36">
        <f t="shared" ca="1" si="0"/>
        <v>0.93501311454579317</v>
      </c>
      <c r="E25" s="35">
        <f t="shared" ca="1" si="8"/>
        <v>1.9051221193671308E-2</v>
      </c>
      <c r="F25" s="35">
        <f t="shared" ca="1" si="1"/>
        <v>0.35743868629825076</v>
      </c>
      <c r="G25" s="52">
        <f t="shared" ca="1" si="2"/>
        <v>-0.13</v>
      </c>
      <c r="H25" s="35">
        <f t="shared" ca="1" si="3"/>
        <v>0.11574517906677456</v>
      </c>
      <c r="I25" s="38">
        <f t="shared" ca="1" si="4"/>
        <v>0.26076128340566029</v>
      </c>
      <c r="J25" s="11">
        <f t="shared" ca="1" si="9"/>
        <v>1.2850587480444711</v>
      </c>
      <c r="K25" s="34">
        <f t="shared" ca="1" si="10"/>
        <v>51402.349921778841</v>
      </c>
      <c r="L25" s="39">
        <f t="shared" ca="1" si="11"/>
        <v>958565.38821119012</v>
      </c>
      <c r="M25" s="34">
        <f t="shared" ca="1" si="5"/>
        <v>51402.349921778841</v>
      </c>
      <c r="N25" s="39">
        <f t="shared" ca="1" si="6"/>
        <v>1143716.0364119362</v>
      </c>
      <c r="O25" s="11">
        <f t="shared" ca="1" si="7"/>
        <v>1</v>
      </c>
      <c r="P25" s="42" t="str">
        <f ca="1">IF(AND(N25 &lt;= 0, O25 = 0, COUNTIF($P$11:P24, "&gt;0") = 0), B25, "")</f>
        <v/>
      </c>
    </row>
    <row r="26" spans="2:24" x14ac:dyDescent="0.3">
      <c r="B26" s="37">
        <v>15</v>
      </c>
      <c r="C26" s="36">
        <f t="shared" ca="1" si="0"/>
        <v>-0.1610489956186982</v>
      </c>
      <c r="D26" s="36">
        <f t="shared" ca="1" si="0"/>
        <v>0.57965848394331898</v>
      </c>
      <c r="E26" s="35">
        <f t="shared" ca="1" si="8"/>
        <v>4.5701367835351503E-2</v>
      </c>
      <c r="F26" s="35">
        <f t="shared" ca="1" si="1"/>
        <v>9.1934407814951283E-2</v>
      </c>
      <c r="G26" s="52">
        <f t="shared" ca="1" si="2"/>
        <v>-0.13</v>
      </c>
      <c r="H26" s="35">
        <f t="shared" ca="1" si="3"/>
        <v>0.10040844880284765</v>
      </c>
      <c r="I26" s="38">
        <f t="shared" ca="1" si="4"/>
        <v>9.5324024210109826E-2</v>
      </c>
      <c r="J26" s="11">
        <f t="shared" ca="1" si="9"/>
        <v>1.3437876905788877</v>
      </c>
      <c r="K26" s="34">
        <f t="shared" ca="1" si="10"/>
        <v>53751.507623155507</v>
      </c>
      <c r="L26" s="39">
        <f t="shared" ca="1" si="11"/>
        <v>1143716.0364119362</v>
      </c>
      <c r="M26" s="34">
        <f t="shared" ca="1" si="5"/>
        <v>53751.507623155507</v>
      </c>
      <c r="N26" s="39">
        <f t="shared" ca="1" si="6"/>
        <v>1193864.3339192034</v>
      </c>
      <c r="O26" s="11">
        <f t="shared" ca="1" si="7"/>
        <v>1</v>
      </c>
      <c r="P26" s="42" t="str">
        <f ca="1">IF(AND(N26 &lt;= 0, O26 = 0, COUNTIF($P$11:P25, "&gt;0") = 0), B26, "")</f>
        <v/>
      </c>
    </row>
    <row r="27" spans="2:24" x14ac:dyDescent="0.3">
      <c r="B27" s="37">
        <v>16</v>
      </c>
      <c r="C27" s="36">
        <f t="shared" ca="1" si="0"/>
        <v>0.22174914613607047</v>
      </c>
      <c r="D27" s="36">
        <f t="shared" ca="1" si="0"/>
        <v>0.48143737842101836</v>
      </c>
      <c r="E27" s="35">
        <f t="shared" ca="1" si="8"/>
        <v>9.4165344442014298E-3</v>
      </c>
      <c r="F27" s="35">
        <f t="shared" ca="1" si="1"/>
        <v>0.16072152541839818</v>
      </c>
      <c r="G27" s="52">
        <f t="shared" ca="1" si="2"/>
        <v>-0.13</v>
      </c>
      <c r="H27" s="35">
        <f t="shared" ca="1" si="3"/>
        <v>8.632630029152466E-2</v>
      </c>
      <c r="I27" s="38">
        <f t="shared" ca="1" si="4"/>
        <v>0.13096343536764876</v>
      </c>
      <c r="J27" s="11">
        <f t="shared" ca="1" si="9"/>
        <v>1.3564415136529178</v>
      </c>
      <c r="K27" s="34">
        <f t="shared" ca="1" si="10"/>
        <v>54257.660546116713</v>
      </c>
      <c r="L27" s="39">
        <f t="shared" ca="1" si="11"/>
        <v>1193864.3339192034</v>
      </c>
      <c r="M27" s="34">
        <f t="shared" ca="1" si="5"/>
        <v>54257.660546116713</v>
      </c>
      <c r="N27" s="39">
        <f t="shared" ca="1" si="6"/>
        <v>1288853.4782859241</v>
      </c>
      <c r="O27" s="11">
        <f t="shared" ca="1" si="7"/>
        <v>1</v>
      </c>
      <c r="P27" s="42" t="str">
        <f ca="1">IF(AND(N27 &lt;= 0, O27 = 0, COUNTIF($P$11:P26, "&gt;0") = 0), B27, "")</f>
        <v/>
      </c>
    </row>
    <row r="28" spans="2:24" x14ac:dyDescent="0.3">
      <c r="B28" s="37">
        <v>17</v>
      </c>
      <c r="C28" s="36">
        <f t="shared" ca="1" si="0"/>
        <v>1.8516432145701327</v>
      </c>
      <c r="D28" s="36">
        <f t="shared" ca="1" si="0"/>
        <v>0.38760967464710483</v>
      </c>
      <c r="E28" s="35">
        <f t="shared" ca="1" si="8"/>
        <v>3.1229311638597101E-2</v>
      </c>
      <c r="F28" s="35">
        <f t="shared" ca="1" si="1"/>
        <v>0.45360621512088606</v>
      </c>
      <c r="G28" s="52">
        <f t="shared" ca="1" si="2"/>
        <v>-0.13</v>
      </c>
      <c r="H28" s="35">
        <f t="shared" ca="1" si="3"/>
        <v>5.7146165587868433E-2</v>
      </c>
      <c r="I28" s="38">
        <f t="shared" ca="1" si="4"/>
        <v>0.29502219530767898</v>
      </c>
      <c r="J28" s="11">
        <f t="shared" ca="1" si="9"/>
        <v>1.398802248402315</v>
      </c>
      <c r="K28" s="34">
        <f t="shared" ca="1" si="10"/>
        <v>55952.089936092605</v>
      </c>
      <c r="L28" s="39">
        <f t="shared" ca="1" si="11"/>
        <v>1288853.4782859241</v>
      </c>
      <c r="M28" s="34">
        <f t="shared" ca="1" si="5"/>
        <v>55952.089936092605</v>
      </c>
      <c r="N28" s="39">
        <f t="shared" ca="1" si="6"/>
        <v>1596634.6625386842</v>
      </c>
      <c r="O28" s="11">
        <f t="shared" ca="1" si="7"/>
        <v>1</v>
      </c>
      <c r="P28" s="42" t="str">
        <f ca="1">IF(AND(N28 &lt;= 0, O28 = 0, COUNTIF($P$11:P27, "&gt;0") = 0), B28, "")</f>
        <v/>
      </c>
    </row>
    <row r="29" spans="2:24" x14ac:dyDescent="0.3">
      <c r="B29" s="37">
        <v>18</v>
      </c>
      <c r="C29" s="36">
        <f t="shared" ca="1" si="0"/>
        <v>1.205037828569917</v>
      </c>
      <c r="D29" s="36">
        <f t="shared" ca="1" si="0"/>
        <v>0.45260713265296992</v>
      </c>
      <c r="E29" s="35">
        <f t="shared" ca="1" si="8"/>
        <v>1.5550297145494607E-2</v>
      </c>
      <c r="F29" s="35">
        <f t="shared" ca="1" si="1"/>
        <v>0.33741411312705516</v>
      </c>
      <c r="G29" s="52">
        <f t="shared" ca="1" si="2"/>
        <v>-0.13</v>
      </c>
      <c r="H29" s="35">
        <f t="shared" ca="1" si="3"/>
        <v>7.1357816064760424E-2</v>
      </c>
      <c r="I29" s="38">
        <f t="shared" ca="1" si="4"/>
        <v>0.23099159430213725</v>
      </c>
      <c r="J29" s="11">
        <f t="shared" ca="1" si="9"/>
        <v>1.4205540390127569</v>
      </c>
      <c r="K29" s="34">
        <f t="shared" ca="1" si="10"/>
        <v>56822.161560510278</v>
      </c>
      <c r="L29" s="39">
        <f t="shared" ca="1" si="11"/>
        <v>1596634.6625386842</v>
      </c>
      <c r="M29" s="34">
        <f t="shared" ca="1" si="5"/>
        <v>56822.161560510278</v>
      </c>
      <c r="N29" s="39">
        <f t="shared" ca="1" si="6"/>
        <v>1895496.2455054836</v>
      </c>
      <c r="O29" s="11">
        <f t="shared" ca="1" si="7"/>
        <v>1</v>
      </c>
      <c r="P29" s="42" t="str">
        <f ca="1">IF(AND(N29 &lt;= 0, O29 = 0, COUNTIF($P$11:P28, "&gt;0") = 0), B29, "")</f>
        <v/>
      </c>
    </row>
    <row r="30" spans="2:24" x14ac:dyDescent="0.3">
      <c r="B30" s="37">
        <v>19</v>
      </c>
      <c r="C30" s="36">
        <f t="shared" ca="1" si="0"/>
        <v>-1.5376534402022175</v>
      </c>
      <c r="D30" s="36">
        <f t="shared" ca="1" si="0"/>
        <v>1.8894592078803778</v>
      </c>
      <c r="E30" s="35">
        <f t="shared" ca="1" si="8"/>
        <v>1.8029468044247876E-2</v>
      </c>
      <c r="F30" s="35">
        <f t="shared" ca="1" si="1"/>
        <v>-0.15543526694082913</v>
      </c>
      <c r="G30" s="52">
        <f t="shared" ca="1" si="2"/>
        <v>-0.13</v>
      </c>
      <c r="H30" s="35">
        <f t="shared" ca="1" si="3"/>
        <v>0.24181663533187767</v>
      </c>
      <c r="I30" s="38">
        <f t="shared" ca="1" si="4"/>
        <v>3.4654939682536023E-3</v>
      </c>
      <c r="J30" s="11">
        <f t="shared" ca="1" si="9"/>
        <v>1.4461658726642646</v>
      </c>
      <c r="K30" s="34">
        <f t="shared" ca="1" si="10"/>
        <v>57846.63490657058</v>
      </c>
      <c r="L30" s="39">
        <f t="shared" ca="1" si="11"/>
        <v>1895496.2455054836</v>
      </c>
      <c r="M30" s="34">
        <f t="shared" ca="1" si="5"/>
        <v>57846.63490657058</v>
      </c>
      <c r="N30" s="39">
        <f t="shared" ca="1" si="6"/>
        <v>1844017.9742402071</v>
      </c>
      <c r="O30" s="11">
        <f t="shared" ca="1" si="7"/>
        <v>1</v>
      </c>
      <c r="P30" s="42" t="str">
        <f ca="1">IF(AND(N30 &lt;= 0, O30 = 0, COUNTIF($P$11:P29, "&gt;0") = 0), B30, "")</f>
        <v/>
      </c>
    </row>
    <row r="31" spans="2:24" x14ac:dyDescent="0.3">
      <c r="B31" s="37">
        <v>20</v>
      </c>
      <c r="C31" s="36">
        <f t="shared" ca="1" si="0"/>
        <v>-0.44368977102763313</v>
      </c>
      <c r="D31" s="36">
        <f t="shared" ca="1" si="0"/>
        <v>0.85506074066927851</v>
      </c>
      <c r="E31" s="35">
        <f t="shared" ca="1" si="8"/>
        <v>1.4940763397969681E-2</v>
      </c>
      <c r="F31" s="35">
        <f t="shared" ca="1" si="1"/>
        <v>4.1145121930593581E-2</v>
      </c>
      <c r="G31" s="52">
        <f t="shared" ca="1" si="2"/>
        <v>-0.13</v>
      </c>
      <c r="H31" s="35">
        <f t="shared" ca="1" si="3"/>
        <v>0.13005662349005909</v>
      </c>
      <c r="I31" s="38">
        <f t="shared" ca="1" si="4"/>
        <v>7.6709722554379786E-2</v>
      </c>
      <c r="J31" s="11">
        <f t="shared" ca="1" si="9"/>
        <v>1.4677726948019596</v>
      </c>
      <c r="K31" s="34">
        <f t="shared" ca="1" si="10"/>
        <v>58710.907792078382</v>
      </c>
      <c r="L31" s="39">
        <f t="shared" ca="1" si="11"/>
        <v>1844017.9742402071</v>
      </c>
      <c r="M31" s="34">
        <f t="shared" ca="1" si="5"/>
        <v>58710.907792078382</v>
      </c>
      <c r="N31" s="39">
        <f t="shared" ca="1" si="6"/>
        <v>1922257.4761897384</v>
      </c>
      <c r="O31" s="11">
        <f t="shared" ca="1" si="7"/>
        <v>1</v>
      </c>
      <c r="P31" s="42" t="str">
        <f ca="1">IF(AND(N31 &lt;= 0, O31 = 0, COUNTIF($P$11:P30, "&gt;0") = 0), B31, "")</f>
        <v/>
      </c>
    </row>
    <row r="32" spans="2:24" x14ac:dyDescent="0.3">
      <c r="B32" s="37">
        <v>21</v>
      </c>
      <c r="C32" s="36">
        <f t="shared" ca="1" si="0"/>
        <v>0.34941915333347756</v>
      </c>
      <c r="D32" s="36">
        <f t="shared" ca="1" si="0"/>
        <v>0.66576680591115123</v>
      </c>
      <c r="E32" s="35">
        <f t="shared" ca="1" si="8"/>
        <v>3.0802026103939228E-2</v>
      </c>
      <c r="F32" s="35">
        <f t="shared" ca="1" si="1"/>
        <v>0.18366325590659627</v>
      </c>
      <c r="G32" s="52">
        <f t="shared" ca="1" si="2"/>
        <v>-0.13</v>
      </c>
      <c r="H32" s="35">
        <f t="shared" ca="1" si="3"/>
        <v>0.10222832090693114</v>
      </c>
      <c r="I32" s="38">
        <f t="shared" ca="1" si="4"/>
        <v>0.15108928190673021</v>
      </c>
      <c r="J32" s="11">
        <f t="shared" ca="1" si="9"/>
        <v>1.5129830676618987</v>
      </c>
      <c r="K32" s="34">
        <f t="shared" ca="1" si="10"/>
        <v>60519.322706475949</v>
      </c>
      <c r="L32" s="39">
        <f t="shared" ca="1" si="11"/>
        <v>1922257.4761897384</v>
      </c>
      <c r="M32" s="34">
        <f t="shared" ca="1" si="5"/>
        <v>60519.322706475949</v>
      </c>
      <c r="N32" s="39">
        <f t="shared" ca="1" si="6"/>
        <v>2143026.8341914103</v>
      </c>
      <c r="O32" s="11">
        <f t="shared" ca="1" si="7"/>
        <v>1</v>
      </c>
      <c r="P32" s="42" t="str">
        <f ca="1">IF(AND(N32 &lt;= 0, O32 = 0, COUNTIF($P$11:P31, "&gt;0") = 0), B32, "")</f>
        <v/>
      </c>
    </row>
    <row r="33" spans="2:19" x14ac:dyDescent="0.3">
      <c r="B33" s="37">
        <v>22</v>
      </c>
      <c r="C33" s="36">
        <f t="shared" ca="1" si="0"/>
        <v>-0.59891569972617253</v>
      </c>
      <c r="D33" s="36">
        <f t="shared" ca="1" si="0"/>
        <v>1.1504930456294342</v>
      </c>
      <c r="E33" s="35">
        <f t="shared" ca="1" si="8"/>
        <v>2.3374015643075952E-2</v>
      </c>
      <c r="F33" s="35">
        <f t="shared" ca="1" si="1"/>
        <v>1.3251715333727099E-2</v>
      </c>
      <c r="G33" s="52">
        <f t="shared" ca="1" si="2"/>
        <v>-0.13</v>
      </c>
      <c r="H33" s="35">
        <f t="shared" ca="1" si="3"/>
        <v>0.16002023376846489</v>
      </c>
      <c r="I33" s="38">
        <f t="shared" ca="1" si="4"/>
        <v>7.1959122707622211E-2</v>
      </c>
      <c r="J33" s="11">
        <f t="shared" ca="1" si="9"/>
        <v>1.5483475575531369</v>
      </c>
      <c r="K33" s="34">
        <f t="shared" ca="1" si="10"/>
        <v>61933.902302125476</v>
      </c>
      <c r="L33" s="39">
        <f t="shared" ca="1" si="11"/>
        <v>2143026.8341914103</v>
      </c>
      <c r="M33" s="34">
        <f t="shared" ca="1" si="5"/>
        <v>61933.902302125476</v>
      </c>
      <c r="N33" s="39">
        <f t="shared" ca="1" si="6"/>
        <v>2230846.5535410712</v>
      </c>
      <c r="O33" s="11">
        <f t="shared" ca="1" si="7"/>
        <v>1</v>
      </c>
      <c r="P33" s="42" t="str">
        <f ca="1">IF(AND(N33 &lt;= 0, O33 = 0, COUNTIF($P$11:P32, "&gt;0") = 0), B33, "")</f>
        <v/>
      </c>
    </row>
    <row r="34" spans="2:19" x14ac:dyDescent="0.3">
      <c r="B34" s="37">
        <v>23</v>
      </c>
      <c r="C34" s="36">
        <f t="shared" ca="1" si="0"/>
        <v>1.1289555816999506</v>
      </c>
      <c r="D34" s="36">
        <f t="shared" ca="1" si="0"/>
        <v>-1.0846025443056397</v>
      </c>
      <c r="E34" s="35">
        <f t="shared" ca="1" si="8"/>
        <v>2.1621994981522397E-2</v>
      </c>
      <c r="F34" s="35">
        <f t="shared" ca="1" si="1"/>
        <v>0.32374247292789349</v>
      </c>
      <c r="G34" s="52">
        <f t="shared" ca="1" si="2"/>
        <v>-0.13</v>
      </c>
      <c r="H34" s="35">
        <f t="shared" ca="1" si="3"/>
        <v>-7.3555791992483216E-2</v>
      </c>
      <c r="I34" s="38">
        <f t="shared" ca="1" si="4"/>
        <v>0.16482316695974281</v>
      </c>
      <c r="J34" s="11">
        <f t="shared" ca="1" si="9"/>
        <v>1.5818259206722034</v>
      </c>
      <c r="K34" s="34">
        <f t="shared" ca="1" si="10"/>
        <v>63273.036826888136</v>
      </c>
      <c r="L34" s="39">
        <f t="shared" ca="1" si="11"/>
        <v>2230846.5535410712</v>
      </c>
      <c r="M34" s="34">
        <f t="shared" ca="1" si="5"/>
        <v>63273.036826888136</v>
      </c>
      <c r="N34" s="39">
        <f t="shared" ca="1" si="6"/>
        <v>2524839.8483570819</v>
      </c>
      <c r="O34" s="11">
        <f t="shared" ca="1" si="7"/>
        <v>1</v>
      </c>
      <c r="P34" s="42" t="str">
        <f ca="1">IF(AND(N34 &lt;= 0, O34 = 0, COUNTIF($P$11:P33, "&gt;0") = 0), B34, "")</f>
        <v/>
      </c>
    </row>
    <row r="35" spans="2:19" x14ac:dyDescent="0.3">
      <c r="B35" s="37">
        <v>24</v>
      </c>
      <c r="C35" s="36">
        <f t="shared" ca="1" si="0"/>
        <v>-8.2339882262386505E-3</v>
      </c>
      <c r="D35" s="36">
        <f t="shared" ca="1" si="0"/>
        <v>-9.6862897712075305E-2</v>
      </c>
      <c r="E35" s="35">
        <f t="shared" ca="1" si="8"/>
        <v>3.0161877385742386E-2</v>
      </c>
      <c r="F35" s="35">
        <f t="shared" ca="1" si="1"/>
        <v>0.11939458261332013</v>
      </c>
      <c r="G35" s="52">
        <f t="shared" ca="1" si="2"/>
        <v>-0.13</v>
      </c>
      <c r="H35" s="35">
        <f t="shared" ca="1" si="3"/>
        <v>3.4314701614486562E-2</v>
      </c>
      <c r="I35" s="38">
        <f t="shared" ca="1" si="4"/>
        <v>8.5362630213786692E-2</v>
      </c>
      <c r="J35" s="11">
        <f t="shared" ca="1" si="9"/>
        <v>1.6295367601371074</v>
      </c>
      <c r="K35" s="34">
        <f t="shared" ca="1" si="10"/>
        <v>65181.470405484295</v>
      </c>
      <c r="L35" s="39">
        <f t="shared" ca="1" si="11"/>
        <v>2524839.8483570819</v>
      </c>
      <c r="M35" s="34">
        <f t="shared" ca="1" si="5"/>
        <v>65181.470405484295</v>
      </c>
      <c r="N35" s="39">
        <f t="shared" ca="1" si="6"/>
        <v>2669621.2865209221</v>
      </c>
      <c r="O35" s="11">
        <f t="shared" ca="1" si="7"/>
        <v>1</v>
      </c>
      <c r="P35" s="42" t="str">
        <f ca="1">IF(AND(N35 &lt;= 0, O35 = 0, COUNTIF($P$11:P34, "&gt;0") = 0), B35, "")</f>
        <v/>
      </c>
    </row>
    <row r="36" spans="2:19" x14ac:dyDescent="0.3">
      <c r="B36" s="37">
        <v>25</v>
      </c>
      <c r="C36" s="36">
        <f t="shared" ca="1" si="0"/>
        <v>-0.38960873131216411</v>
      </c>
      <c r="D36" s="36">
        <f t="shared" ca="1" si="0"/>
        <v>1.2286161857214599</v>
      </c>
      <c r="E36" s="35">
        <f t="shared" ca="1" si="8"/>
        <v>1.3690890254135502E-2</v>
      </c>
      <c r="F36" s="35">
        <f t="shared" ca="1" si="1"/>
        <v>5.0863243397880731E-2</v>
      </c>
      <c r="G36" s="52">
        <f t="shared" ca="1" si="2"/>
        <v>-0.13</v>
      </c>
      <c r="H36" s="35">
        <f t="shared" ca="1" si="3"/>
        <v>0.16482910485781849</v>
      </c>
      <c r="I36" s="38">
        <f t="shared" ca="1" si="4"/>
        <v>9.6449587981855836E-2</v>
      </c>
      <c r="J36" s="11">
        <f t="shared" ca="1" si="9"/>
        <v>1.651846569085224</v>
      </c>
      <c r="K36" s="34">
        <f t="shared" ca="1" si="10"/>
        <v>66073.862763408964</v>
      </c>
      <c r="L36" s="39">
        <f t="shared" ca="1" si="11"/>
        <v>2669621.2865209221</v>
      </c>
      <c r="M36" s="34">
        <f t="shared" ca="1" si="5"/>
        <v>66073.862763408964</v>
      </c>
      <c r="N36" s="39">
        <f t="shared" ca="1" si="6"/>
        <v>2854658.5000701477</v>
      </c>
      <c r="O36" s="11">
        <f t="shared" ca="1" si="7"/>
        <v>1</v>
      </c>
      <c r="P36" s="42" t="str">
        <f ca="1">IF(AND(N36 &lt;= 0, O36 = 0, COUNTIF($P$11:P35, "&gt;0") = 0), B36, "")</f>
        <v/>
      </c>
    </row>
    <row r="37" spans="2:19" x14ac:dyDescent="0.3">
      <c r="B37" s="37">
        <v>26</v>
      </c>
      <c r="C37" s="36">
        <f t="shared" ca="1" si="0"/>
        <v>-1.3787062962202972</v>
      </c>
      <c r="D37" s="36">
        <f t="shared" ca="1" si="0"/>
        <v>-1.2017785176881464</v>
      </c>
      <c r="E37" s="35">
        <f t="shared" ca="1" si="8"/>
        <v>5.8734553651675903E-2</v>
      </c>
      <c r="F37" s="35">
        <f t="shared" ca="1" si="1"/>
        <v>-0.12687317456572905</v>
      </c>
      <c r="G37" s="52">
        <f t="shared" ca="1" si="2"/>
        <v>-0.13</v>
      </c>
      <c r="H37" s="35">
        <f t="shared" ca="1" si="3"/>
        <v>-5.3476888631465609E-2</v>
      </c>
      <c r="I37" s="38">
        <f t="shared" ca="1" si="4"/>
        <v>-9.7514660192023678E-2</v>
      </c>
      <c r="J37" s="11">
        <f t="shared" ca="1" si="9"/>
        <v>1.7488670400214967</v>
      </c>
      <c r="K37" s="34">
        <f t="shared" ca="1" si="10"/>
        <v>69954.681600859869</v>
      </c>
      <c r="L37" s="39">
        <f t="shared" ca="1" si="11"/>
        <v>2854658.5000701477</v>
      </c>
      <c r="M37" s="34">
        <f t="shared" ca="1" si="5"/>
        <v>69954.681600859869</v>
      </c>
      <c r="N37" s="39">
        <f t="shared" ca="1" si="6"/>
        <v>2513154.3718758244</v>
      </c>
      <c r="O37" s="11">
        <f t="shared" ca="1" si="7"/>
        <v>1</v>
      </c>
      <c r="P37" s="42" t="str">
        <f ca="1">IF(AND(N37 &lt;= 0, O37 = 0, COUNTIF($P$11:P36, "&gt;0") = 0), B37, "")</f>
        <v/>
      </c>
    </row>
    <row r="38" spans="2:19" x14ac:dyDescent="0.3">
      <c r="B38" s="37">
        <v>27</v>
      </c>
      <c r="C38" s="36">
        <f t="shared" ca="1" si="0"/>
        <v>-0.28266419872869364</v>
      </c>
      <c r="D38" s="36">
        <f t="shared" ca="1" si="0"/>
        <v>-0.64658509057559643</v>
      </c>
      <c r="E38" s="35">
        <f t="shared" ca="1" si="8"/>
        <v>1.2769054040746353E-2</v>
      </c>
      <c r="F38" s="35">
        <f t="shared" ca="1" si="1"/>
        <v>7.0080698598009597E-2</v>
      </c>
      <c r="G38" s="52">
        <f t="shared" ca="1" si="2"/>
        <v>-0.13</v>
      </c>
      <c r="H38" s="35">
        <f t="shared" ca="1" si="3"/>
        <v>-1.4432271827692196E-2</v>
      </c>
      <c r="I38" s="38">
        <f t="shared" ca="1" si="4"/>
        <v>3.6275510427728877E-2</v>
      </c>
      <c r="J38" s="11">
        <f t="shared" ca="1" si="9"/>
        <v>1.7711984177656113</v>
      </c>
      <c r="K38" s="34">
        <f t="shared" ca="1" si="10"/>
        <v>70847.936710624446</v>
      </c>
      <c r="L38" s="39">
        <f t="shared" ca="1" si="11"/>
        <v>2513154.3718758244</v>
      </c>
      <c r="M38" s="34">
        <f t="shared" ca="1" si="5"/>
        <v>70847.936710624446</v>
      </c>
      <c r="N38" s="39">
        <f t="shared" ca="1" si="6"/>
        <v>2530902.3477217443</v>
      </c>
      <c r="O38" s="11">
        <f t="shared" ca="1" si="7"/>
        <v>1</v>
      </c>
      <c r="P38" s="42" t="str">
        <f ca="1">IF(AND(N38 &lt;= 0, O38 = 0, COUNTIF($P$11:P37, "&gt;0") = 0), B38, "")</f>
        <v/>
      </c>
    </row>
    <row r="39" spans="2:19" x14ac:dyDescent="0.3">
      <c r="B39" s="37">
        <v>28</v>
      </c>
      <c r="C39" s="36">
        <f t="shared" ca="1" si="0"/>
        <v>-1.5358127691370587</v>
      </c>
      <c r="D39" s="36">
        <f t="shared" ca="1" si="0"/>
        <v>0.20985880322450978</v>
      </c>
      <c r="E39" s="35">
        <f t="shared" ca="1" si="8"/>
        <v>3.3442900114826424E-2</v>
      </c>
      <c r="F39" s="35">
        <f t="shared" ca="1" si="1"/>
        <v>-0.15510450656553595</v>
      </c>
      <c r="G39" s="52">
        <f t="shared" ca="1" si="2"/>
        <v>-0.13</v>
      </c>
      <c r="H39" s="35">
        <f t="shared" ca="1" si="3"/>
        <v>8.2422675896339823E-2</v>
      </c>
      <c r="I39" s="38">
        <f t="shared" ca="1" si="4"/>
        <v>-6.0093633580785642E-2</v>
      </c>
      <c r="J39" s="11">
        <f t="shared" ca="1" si="9"/>
        <v>1.8304324295344852</v>
      </c>
      <c r="K39" s="34">
        <f t="shared" ca="1" si="10"/>
        <v>73217.297181379399</v>
      </c>
      <c r="L39" s="39">
        <f t="shared" ca="1" si="11"/>
        <v>2530902.3477217443</v>
      </c>
      <c r="M39" s="34">
        <f t="shared" ca="1" si="5"/>
        <v>73217.297181379399</v>
      </c>
      <c r="N39" s="39">
        <f t="shared" ca="1" si="6"/>
        <v>2309993.8256562175</v>
      </c>
      <c r="O39" s="11">
        <f t="shared" ca="1" si="7"/>
        <v>1</v>
      </c>
      <c r="P39" s="42" t="str">
        <f ca="1">IF(AND(N39 &lt;= 0, O39 = 0, COUNTIF($P$11:P38, "&gt;0") = 0), B39, "")</f>
        <v/>
      </c>
    </row>
    <row r="40" spans="2:19" x14ac:dyDescent="0.3">
      <c r="B40" s="37">
        <v>29</v>
      </c>
      <c r="C40" s="36">
        <f t="shared" ca="1" si="0"/>
        <v>1.3148050114491106</v>
      </c>
      <c r="D40" s="36">
        <f t="shared" ca="1" si="0"/>
        <v>-0.15621323209726676</v>
      </c>
      <c r="E40" s="35">
        <f t="shared" ca="1" si="8"/>
        <v>4.2882522357686303E-2</v>
      </c>
      <c r="F40" s="35">
        <f t="shared" ca="1" si="1"/>
        <v>0.35713878598752913</v>
      </c>
      <c r="G40" s="52">
        <f t="shared" ca="1" si="2"/>
        <v>-0.13</v>
      </c>
      <c r="H40" s="35">
        <f t="shared" ca="1" si="3"/>
        <v>1.2223516549278328E-2</v>
      </c>
      <c r="I40" s="38">
        <f t="shared" ca="1" si="4"/>
        <v>0.2191726782122288</v>
      </c>
      <c r="J40" s="11">
        <f t="shared" ca="1" si="9"/>
        <v>1.9089259891182317</v>
      </c>
      <c r="K40" s="34">
        <f t="shared" ca="1" si="10"/>
        <v>76357.039564729275</v>
      </c>
      <c r="L40" s="39">
        <f t="shared" ca="1" si="11"/>
        <v>2309993.8256562175</v>
      </c>
      <c r="M40" s="34">
        <f t="shared" ca="1" si="5"/>
        <v>76357.039564729275</v>
      </c>
      <c r="N40" s="39">
        <f t="shared" ca="1" si="6"/>
        <v>2723188.9426525147</v>
      </c>
      <c r="O40" s="11">
        <f t="shared" ca="1" si="7"/>
        <v>1</v>
      </c>
      <c r="P40" s="42" t="str">
        <f ca="1">IF(AND(N40 &lt;= 0, O40 = 0, COUNTIF($P$11:P39, "&gt;0") = 0), B40, "")</f>
        <v/>
      </c>
    </row>
    <row r="41" spans="2:19" x14ac:dyDescent="0.3">
      <c r="B41" s="37">
        <v>30</v>
      </c>
      <c r="C41" s="36">
        <f t="shared" ca="1" si="0"/>
        <v>-0.66751361996845604</v>
      </c>
      <c r="D41" s="36">
        <f t="shared" ca="1" si="0"/>
        <v>-1.125572225948732</v>
      </c>
      <c r="E41" s="35">
        <f t="shared" ca="1" si="8"/>
        <v>4.7593488845476761E-2</v>
      </c>
      <c r="F41" s="35">
        <f t="shared" ca="1" si="1"/>
        <v>9.2497522619353068E-4</v>
      </c>
      <c r="G41" s="52">
        <f t="shared" ca="1" si="2"/>
        <v>-0.13</v>
      </c>
      <c r="H41" s="35">
        <f t="shared" ca="1" si="3"/>
        <v>-5.5093755389108996E-2</v>
      </c>
      <c r="I41" s="38">
        <f t="shared" ca="1" si="4"/>
        <v>-2.1482517019927479E-2</v>
      </c>
      <c r="J41" s="11">
        <f t="shared" ca="1" si="9"/>
        <v>1.999778436888171</v>
      </c>
      <c r="K41" s="34">
        <f t="shared" ca="1" si="10"/>
        <v>79991.137475526848</v>
      </c>
      <c r="L41" s="39">
        <f t="shared" ca="1" si="11"/>
        <v>2723188.9426525147</v>
      </c>
      <c r="M41" s="34">
        <f t="shared" ca="1" si="5"/>
        <v>79991.137475526848</v>
      </c>
      <c r="N41" s="39">
        <f t="shared" ca="1" si="6"/>
        <v>2586415.2633402385</v>
      </c>
      <c r="O41" s="11">
        <f t="shared" ca="1" si="7"/>
        <v>1</v>
      </c>
      <c r="P41" s="42" t="str">
        <f ca="1">IF(AND(N41 &lt;= 0, O41 = 0, COUNTIF($P$11:P40, "&gt;0") = 0), B41, "")</f>
        <v/>
      </c>
      <c r="S41" s="6"/>
    </row>
    <row r="42" spans="2:19" x14ac:dyDescent="0.3">
      <c r="B42" s="8"/>
      <c r="C42" s="9"/>
      <c r="D42" s="9"/>
      <c r="E42" s="2"/>
      <c r="F42" s="2"/>
      <c r="G42" s="5"/>
      <c r="H42" s="2"/>
      <c r="I42" s="2"/>
      <c r="K42" s="3"/>
      <c r="L42" s="1"/>
      <c r="M42" s="1"/>
      <c r="S42" s="6"/>
    </row>
    <row r="43" spans="2:19" x14ac:dyDescent="0.3">
      <c r="S43" s="6"/>
    </row>
    <row r="44" spans="2:19" x14ac:dyDescent="0.3">
      <c r="S44" s="6"/>
    </row>
    <row r="45" spans="2:19" x14ac:dyDescent="0.3">
      <c r="S45" s="6"/>
    </row>
    <row r="46" spans="2:19" x14ac:dyDescent="0.3">
      <c r="S46" s="6"/>
    </row>
    <row r="47" spans="2:19" x14ac:dyDescent="0.3">
      <c r="S47" s="6"/>
    </row>
    <row r="48" spans="2:19" x14ac:dyDescent="0.3">
      <c r="S48" s="6"/>
    </row>
    <row r="49" spans="19:19" x14ac:dyDescent="0.3">
      <c r="S49" s="6"/>
    </row>
    <row r="50" spans="19:19" x14ac:dyDescent="0.3">
      <c r="S50" s="6"/>
    </row>
    <row r="51" spans="19:19" x14ac:dyDescent="0.3">
      <c r="S51" s="6"/>
    </row>
    <row r="52" spans="19:19" x14ac:dyDescent="0.3">
      <c r="S52" s="6"/>
    </row>
    <row r="53" spans="19:19" x14ac:dyDescent="0.3">
      <c r="S53" s="6"/>
    </row>
    <row r="54" spans="19:19" x14ac:dyDescent="0.3">
      <c r="S54" s="6"/>
    </row>
    <row r="55" spans="19:19" x14ac:dyDescent="0.3">
      <c r="S55" s="6"/>
    </row>
    <row r="56" spans="19:19" x14ac:dyDescent="0.3">
      <c r="S56" s="6"/>
    </row>
    <row r="57" spans="19:19" x14ac:dyDescent="0.3">
      <c r="S57" s="6"/>
    </row>
    <row r="58" spans="19:19" x14ac:dyDescent="0.3">
      <c r="S58" s="6"/>
    </row>
    <row r="59" spans="19:19" x14ac:dyDescent="0.3">
      <c r="S59" s="6"/>
    </row>
    <row r="60" spans="19:19" x14ac:dyDescent="0.3">
      <c r="S60" s="6"/>
    </row>
    <row r="61" spans="19:19" x14ac:dyDescent="0.3">
      <c r="S61" s="6"/>
    </row>
    <row r="62" spans="19:19" x14ac:dyDescent="0.3">
      <c r="S62" s="6"/>
    </row>
    <row r="63" spans="19:19" x14ac:dyDescent="0.3">
      <c r="S63" s="6"/>
    </row>
    <row r="64" spans="19:19" x14ac:dyDescent="0.3">
      <c r="S64" s="6"/>
    </row>
    <row r="65" spans="19:19" x14ac:dyDescent="0.3">
      <c r="S65" s="6"/>
    </row>
    <row r="66" spans="19:19" x14ac:dyDescent="0.3">
      <c r="S66" s="6"/>
    </row>
    <row r="67" spans="19:19" x14ac:dyDescent="0.3">
      <c r="S67" s="6"/>
    </row>
    <row r="68" spans="19:19" x14ac:dyDescent="0.3">
      <c r="S68" s="6"/>
    </row>
    <row r="69" spans="19:19" x14ac:dyDescent="0.3">
      <c r="S69" s="6"/>
    </row>
    <row r="70" spans="19:19" x14ac:dyDescent="0.3">
      <c r="S70" s="6"/>
    </row>
    <row r="71" spans="19:19" x14ac:dyDescent="0.3">
      <c r="S71" s="6"/>
    </row>
    <row r="72" spans="19:19" x14ac:dyDescent="0.3">
      <c r="S72" s="6"/>
    </row>
    <row r="73" spans="19:19" x14ac:dyDescent="0.3">
      <c r="S73" s="6"/>
    </row>
    <row r="74" spans="19:19" x14ac:dyDescent="0.3">
      <c r="S74" s="6"/>
    </row>
    <row r="75" spans="19:19" x14ac:dyDescent="0.3">
      <c r="S75" s="6"/>
    </row>
    <row r="76" spans="19:19" x14ac:dyDescent="0.3">
      <c r="S76" s="6"/>
    </row>
    <row r="77" spans="19:19" x14ac:dyDescent="0.3">
      <c r="S77" s="6"/>
    </row>
    <row r="78" spans="19:19" x14ac:dyDescent="0.3">
      <c r="S78" s="6"/>
    </row>
    <row r="79" spans="19:19" x14ac:dyDescent="0.3">
      <c r="S79" s="6"/>
    </row>
    <row r="80" spans="19:19" x14ac:dyDescent="0.3">
      <c r="S80" s="6"/>
    </row>
    <row r="81" spans="19:19" x14ac:dyDescent="0.3">
      <c r="S81" s="6"/>
    </row>
    <row r="82" spans="19:19" x14ac:dyDescent="0.3">
      <c r="S82" s="6"/>
    </row>
    <row r="83" spans="19:19" x14ac:dyDescent="0.3">
      <c r="S83" s="6"/>
    </row>
    <row r="84" spans="19:19" x14ac:dyDescent="0.3">
      <c r="S84" s="6"/>
    </row>
    <row r="85" spans="19:19" x14ac:dyDescent="0.3">
      <c r="S85" s="6"/>
    </row>
    <row r="86" spans="19:19" x14ac:dyDescent="0.3">
      <c r="S86" s="6"/>
    </row>
    <row r="87" spans="19:19" x14ac:dyDescent="0.3">
      <c r="S87" s="6"/>
    </row>
    <row r="88" spans="19:19" x14ac:dyDescent="0.3">
      <c r="S88" s="6"/>
    </row>
    <row r="89" spans="19:19" x14ac:dyDescent="0.3">
      <c r="S89" s="6"/>
    </row>
    <row r="90" spans="19:19" x14ac:dyDescent="0.3">
      <c r="S90" s="6"/>
    </row>
    <row r="91" spans="19:19" x14ac:dyDescent="0.3">
      <c r="S91" s="6"/>
    </row>
    <row r="92" spans="19:19" x14ac:dyDescent="0.3">
      <c r="S92" s="6"/>
    </row>
    <row r="93" spans="19:19" x14ac:dyDescent="0.3">
      <c r="S93" s="6"/>
    </row>
    <row r="94" spans="19:19" x14ac:dyDescent="0.3">
      <c r="S94" s="6"/>
    </row>
    <row r="95" spans="19:19" x14ac:dyDescent="0.3">
      <c r="S95" s="6"/>
    </row>
    <row r="96" spans="19:19" x14ac:dyDescent="0.3">
      <c r="S96" s="6"/>
    </row>
    <row r="97" spans="19:19" x14ac:dyDescent="0.3">
      <c r="S97" s="6"/>
    </row>
    <row r="98" spans="19:19" x14ac:dyDescent="0.3">
      <c r="S98" s="6"/>
    </row>
    <row r="99" spans="19:19" x14ac:dyDescent="0.3">
      <c r="S99" s="6"/>
    </row>
    <row r="100" spans="19:19" x14ac:dyDescent="0.3">
      <c r="S100" s="6"/>
    </row>
    <row r="101" spans="19:19" x14ac:dyDescent="0.3">
      <c r="S101" s="6"/>
    </row>
    <row r="102" spans="19:19" x14ac:dyDescent="0.3">
      <c r="S102" s="6"/>
    </row>
    <row r="103" spans="19:19" x14ac:dyDescent="0.3">
      <c r="S103" s="6"/>
    </row>
    <row r="104" spans="19:19" x14ac:dyDescent="0.3">
      <c r="S104" s="6"/>
    </row>
    <row r="105" spans="19:19" x14ac:dyDescent="0.3">
      <c r="S105" s="6"/>
    </row>
    <row r="106" spans="19:19" x14ac:dyDescent="0.3">
      <c r="S106" s="6"/>
    </row>
    <row r="107" spans="19:19" x14ac:dyDescent="0.3">
      <c r="S107" s="6"/>
    </row>
    <row r="108" spans="19:19" x14ac:dyDescent="0.3">
      <c r="S108" s="6"/>
    </row>
    <row r="109" spans="19:19" x14ac:dyDescent="0.3">
      <c r="S109" s="6"/>
    </row>
    <row r="110" spans="19:19" x14ac:dyDescent="0.3">
      <c r="S110" s="6"/>
    </row>
    <row r="111" spans="19:19" x14ac:dyDescent="0.3">
      <c r="S111" s="6"/>
    </row>
    <row r="112" spans="19:19" x14ac:dyDescent="0.3">
      <c r="S112" s="6"/>
    </row>
    <row r="113" spans="19:19" x14ac:dyDescent="0.3">
      <c r="S113" s="6"/>
    </row>
    <row r="114" spans="19:19" x14ac:dyDescent="0.3">
      <c r="S114" s="6"/>
    </row>
    <row r="115" spans="19:19" x14ac:dyDescent="0.3">
      <c r="S115" s="6"/>
    </row>
    <row r="116" spans="19:19" x14ac:dyDescent="0.3">
      <c r="S116" s="6"/>
    </row>
    <row r="117" spans="19:19" x14ac:dyDescent="0.3">
      <c r="S117" s="6"/>
    </row>
    <row r="118" spans="19:19" x14ac:dyDescent="0.3">
      <c r="S118" s="6"/>
    </row>
    <row r="119" spans="19:19" x14ac:dyDescent="0.3">
      <c r="S119" s="6"/>
    </row>
    <row r="120" spans="19:19" x14ac:dyDescent="0.3">
      <c r="S120" s="6"/>
    </row>
    <row r="121" spans="19:19" x14ac:dyDescent="0.3">
      <c r="S121" s="6"/>
    </row>
    <row r="122" spans="19:19" x14ac:dyDescent="0.3">
      <c r="S122" s="6"/>
    </row>
    <row r="123" spans="19:19" x14ac:dyDescent="0.3">
      <c r="S123" s="6"/>
    </row>
    <row r="124" spans="19:19" x14ac:dyDescent="0.3">
      <c r="S124" s="6"/>
    </row>
    <row r="125" spans="19:19" x14ac:dyDescent="0.3">
      <c r="S125" s="6"/>
    </row>
    <row r="126" spans="19:19" x14ac:dyDescent="0.3">
      <c r="S126" s="6"/>
    </row>
    <row r="127" spans="19:19" x14ac:dyDescent="0.3">
      <c r="S127" s="6"/>
    </row>
    <row r="128" spans="19:19" x14ac:dyDescent="0.3">
      <c r="S128" s="6"/>
    </row>
    <row r="129" spans="19:19" x14ac:dyDescent="0.3">
      <c r="S129" s="6"/>
    </row>
    <row r="130" spans="19:19" x14ac:dyDescent="0.3">
      <c r="S130" s="6"/>
    </row>
    <row r="131" spans="19:19" x14ac:dyDescent="0.3">
      <c r="S131" s="6"/>
    </row>
    <row r="132" spans="19:19" x14ac:dyDescent="0.3">
      <c r="S132" s="6"/>
    </row>
    <row r="133" spans="19:19" x14ac:dyDescent="0.3">
      <c r="S133" s="6"/>
    </row>
    <row r="134" spans="19:19" x14ac:dyDescent="0.3">
      <c r="S134" s="6"/>
    </row>
    <row r="135" spans="19:19" x14ac:dyDescent="0.3">
      <c r="S135" s="6"/>
    </row>
    <row r="136" spans="19:19" x14ac:dyDescent="0.3">
      <c r="S136" s="6"/>
    </row>
    <row r="137" spans="19:19" x14ac:dyDescent="0.3">
      <c r="S137" s="6"/>
    </row>
    <row r="138" spans="19:19" x14ac:dyDescent="0.3">
      <c r="S138" s="6"/>
    </row>
    <row r="139" spans="19:19" x14ac:dyDescent="0.3">
      <c r="S139" s="6"/>
    </row>
    <row r="140" spans="19:19" x14ac:dyDescent="0.3">
      <c r="S140" s="6"/>
    </row>
    <row r="141" spans="19:19" x14ac:dyDescent="0.3">
      <c r="S141" s="6"/>
    </row>
    <row r="142" spans="19:19" x14ac:dyDescent="0.3">
      <c r="S142" s="6"/>
    </row>
    <row r="143" spans="19:19" x14ac:dyDescent="0.3">
      <c r="S143" s="6"/>
    </row>
    <row r="144" spans="19:19" x14ac:dyDescent="0.3">
      <c r="S144" s="6"/>
    </row>
    <row r="145" spans="19:19" x14ac:dyDescent="0.3">
      <c r="S145" s="6"/>
    </row>
    <row r="146" spans="19:19" x14ac:dyDescent="0.3">
      <c r="S146" s="6"/>
    </row>
    <row r="147" spans="19:19" x14ac:dyDescent="0.3">
      <c r="S147" s="6"/>
    </row>
    <row r="148" spans="19:19" x14ac:dyDescent="0.3">
      <c r="S148" s="6"/>
    </row>
    <row r="149" spans="19:19" x14ac:dyDescent="0.3">
      <c r="S149" s="6"/>
    </row>
    <row r="150" spans="19:19" x14ac:dyDescent="0.3">
      <c r="S150" s="6"/>
    </row>
    <row r="151" spans="19:19" x14ac:dyDescent="0.3">
      <c r="S151" s="6"/>
    </row>
    <row r="152" spans="19:19" x14ac:dyDescent="0.3">
      <c r="S152" s="6"/>
    </row>
    <row r="153" spans="19:19" x14ac:dyDescent="0.3">
      <c r="S153" s="6"/>
    </row>
    <row r="154" spans="19:19" x14ac:dyDescent="0.3">
      <c r="S154" s="6"/>
    </row>
    <row r="155" spans="19:19" x14ac:dyDescent="0.3">
      <c r="S155" s="6"/>
    </row>
    <row r="156" spans="19:19" x14ac:dyDescent="0.3">
      <c r="S156" s="6"/>
    </row>
    <row r="157" spans="19:19" x14ac:dyDescent="0.3">
      <c r="S157" s="6"/>
    </row>
    <row r="158" spans="19:19" x14ac:dyDescent="0.3">
      <c r="S158" s="6"/>
    </row>
    <row r="159" spans="19:19" x14ac:dyDescent="0.3">
      <c r="S159" s="6"/>
    </row>
    <row r="160" spans="19:19" x14ac:dyDescent="0.3">
      <c r="S160" s="6"/>
    </row>
    <row r="161" spans="19:19" x14ac:dyDescent="0.3">
      <c r="S161" s="6"/>
    </row>
    <row r="162" spans="19:19" x14ac:dyDescent="0.3">
      <c r="S162" s="6"/>
    </row>
    <row r="163" spans="19:19" x14ac:dyDescent="0.3">
      <c r="S163" s="6"/>
    </row>
    <row r="164" spans="19:19" x14ac:dyDescent="0.3">
      <c r="S164" s="6"/>
    </row>
    <row r="165" spans="19:19" x14ac:dyDescent="0.3">
      <c r="S165" s="6"/>
    </row>
    <row r="166" spans="19:19" x14ac:dyDescent="0.3">
      <c r="S166" s="6"/>
    </row>
    <row r="167" spans="19:19" x14ac:dyDescent="0.3">
      <c r="S167" s="6"/>
    </row>
    <row r="168" spans="19:19" x14ac:dyDescent="0.3">
      <c r="S168" s="6"/>
    </row>
    <row r="169" spans="19:19" x14ac:dyDescent="0.3">
      <c r="S169" s="6"/>
    </row>
    <row r="170" spans="19:19" x14ac:dyDescent="0.3">
      <c r="S170" s="6"/>
    </row>
    <row r="171" spans="19:19" x14ac:dyDescent="0.3">
      <c r="S171" s="6"/>
    </row>
    <row r="172" spans="19:19" x14ac:dyDescent="0.3">
      <c r="S172" s="6"/>
    </row>
    <row r="173" spans="19:19" x14ac:dyDescent="0.3">
      <c r="S173" s="6"/>
    </row>
    <row r="174" spans="19:19" x14ac:dyDescent="0.3">
      <c r="S174" s="6"/>
    </row>
    <row r="175" spans="19:19" x14ac:dyDescent="0.3">
      <c r="S175" s="6"/>
    </row>
    <row r="176" spans="19:19" x14ac:dyDescent="0.3">
      <c r="S176" s="6"/>
    </row>
    <row r="177" spans="19:19" x14ac:dyDescent="0.3">
      <c r="S177" s="6"/>
    </row>
    <row r="178" spans="19:19" x14ac:dyDescent="0.3">
      <c r="S178" s="6"/>
    </row>
    <row r="179" spans="19:19" x14ac:dyDescent="0.3">
      <c r="S179" s="6"/>
    </row>
    <row r="180" spans="19:19" x14ac:dyDescent="0.3">
      <c r="S180" s="6"/>
    </row>
    <row r="181" spans="19:19" x14ac:dyDescent="0.3">
      <c r="S181" s="6"/>
    </row>
    <row r="182" spans="19:19" x14ac:dyDescent="0.3">
      <c r="S182" s="6"/>
    </row>
    <row r="183" spans="19:19" x14ac:dyDescent="0.3">
      <c r="S183" s="6"/>
    </row>
    <row r="184" spans="19:19" x14ac:dyDescent="0.3">
      <c r="S184" s="6"/>
    </row>
    <row r="185" spans="19:19" x14ac:dyDescent="0.3">
      <c r="S185" s="6"/>
    </row>
    <row r="186" spans="19:19" x14ac:dyDescent="0.3">
      <c r="S186" s="6"/>
    </row>
    <row r="187" spans="19:19" x14ac:dyDescent="0.3">
      <c r="S187" s="6"/>
    </row>
    <row r="188" spans="19:19" x14ac:dyDescent="0.3">
      <c r="S188" s="6"/>
    </row>
    <row r="189" spans="19:19" x14ac:dyDescent="0.3">
      <c r="S189" s="6"/>
    </row>
    <row r="190" spans="19:19" x14ac:dyDescent="0.3">
      <c r="S190" s="6"/>
    </row>
    <row r="191" spans="19:19" x14ac:dyDescent="0.3">
      <c r="S191" s="6"/>
    </row>
    <row r="192" spans="19:19" x14ac:dyDescent="0.3">
      <c r="S192" s="6"/>
    </row>
    <row r="193" spans="19:19" x14ac:dyDescent="0.3">
      <c r="S193" s="6"/>
    </row>
    <row r="194" spans="19:19" x14ac:dyDescent="0.3">
      <c r="S194" s="6"/>
    </row>
    <row r="195" spans="19:19" x14ac:dyDescent="0.3">
      <c r="S195" s="6"/>
    </row>
    <row r="196" spans="19:19" x14ac:dyDescent="0.3">
      <c r="S196" s="6"/>
    </row>
    <row r="197" spans="19:19" x14ac:dyDescent="0.3">
      <c r="S197" s="6"/>
    </row>
    <row r="198" spans="19:19" x14ac:dyDescent="0.3">
      <c r="S198" s="6"/>
    </row>
    <row r="199" spans="19:19" x14ac:dyDescent="0.3">
      <c r="S199" s="6"/>
    </row>
    <row r="200" spans="19:19" x14ac:dyDescent="0.3">
      <c r="S200" s="6"/>
    </row>
    <row r="201" spans="19:19" x14ac:dyDescent="0.3">
      <c r="S201" s="6"/>
    </row>
    <row r="202" spans="19:19" x14ac:dyDescent="0.3">
      <c r="S202" s="6"/>
    </row>
    <row r="203" spans="19:19" x14ac:dyDescent="0.3">
      <c r="S203" s="6"/>
    </row>
    <row r="204" spans="19:19" x14ac:dyDescent="0.3">
      <c r="S204" s="6"/>
    </row>
    <row r="205" spans="19:19" x14ac:dyDescent="0.3">
      <c r="S205" s="6"/>
    </row>
    <row r="206" spans="19:19" x14ac:dyDescent="0.3">
      <c r="S206" s="6"/>
    </row>
    <row r="207" spans="19:19" x14ac:dyDescent="0.3">
      <c r="S207" s="6"/>
    </row>
    <row r="208" spans="19:19" x14ac:dyDescent="0.3">
      <c r="S208" s="6"/>
    </row>
    <row r="209" spans="19:19" x14ac:dyDescent="0.3">
      <c r="S209" s="6"/>
    </row>
    <row r="210" spans="19:19" x14ac:dyDescent="0.3">
      <c r="S210" s="6"/>
    </row>
    <row r="211" spans="19:19" x14ac:dyDescent="0.3">
      <c r="S211" s="6"/>
    </row>
    <row r="212" spans="19:19" x14ac:dyDescent="0.3">
      <c r="S212" s="6"/>
    </row>
    <row r="213" spans="19:19" x14ac:dyDescent="0.3">
      <c r="S213" s="6"/>
    </row>
    <row r="214" spans="19:19" x14ac:dyDescent="0.3">
      <c r="S214" s="6"/>
    </row>
    <row r="215" spans="19:19" x14ac:dyDescent="0.3">
      <c r="S215" s="6"/>
    </row>
    <row r="216" spans="19:19" x14ac:dyDescent="0.3">
      <c r="S216" s="6"/>
    </row>
    <row r="217" spans="19:19" x14ac:dyDescent="0.3">
      <c r="S217" s="6"/>
    </row>
    <row r="218" spans="19:19" x14ac:dyDescent="0.3">
      <c r="S218" s="6"/>
    </row>
    <row r="219" spans="19:19" x14ac:dyDescent="0.3">
      <c r="S219" s="6"/>
    </row>
    <row r="220" spans="19:19" x14ac:dyDescent="0.3">
      <c r="S220" s="6"/>
    </row>
    <row r="221" spans="19:19" x14ac:dyDescent="0.3">
      <c r="S221" s="6"/>
    </row>
    <row r="222" spans="19:19" x14ac:dyDescent="0.3">
      <c r="S222" s="6"/>
    </row>
    <row r="223" spans="19:19" x14ac:dyDescent="0.3">
      <c r="S223" s="6"/>
    </row>
    <row r="224" spans="19:19" x14ac:dyDescent="0.3">
      <c r="S224" s="6"/>
    </row>
    <row r="225" spans="19:19" x14ac:dyDescent="0.3">
      <c r="S225" s="6"/>
    </row>
    <row r="226" spans="19:19" x14ac:dyDescent="0.3">
      <c r="S226" s="6"/>
    </row>
    <row r="227" spans="19:19" x14ac:dyDescent="0.3">
      <c r="S227" s="6"/>
    </row>
    <row r="228" spans="19:19" x14ac:dyDescent="0.3">
      <c r="S228" s="6"/>
    </row>
    <row r="229" spans="19:19" x14ac:dyDescent="0.3">
      <c r="S229" s="6"/>
    </row>
    <row r="230" spans="19:19" x14ac:dyDescent="0.3">
      <c r="S230" s="6"/>
    </row>
    <row r="231" spans="19:19" x14ac:dyDescent="0.3">
      <c r="S231" s="6"/>
    </row>
    <row r="232" spans="19:19" x14ac:dyDescent="0.3">
      <c r="S232" s="6"/>
    </row>
    <row r="233" spans="19:19" x14ac:dyDescent="0.3">
      <c r="S233" s="6"/>
    </row>
    <row r="234" spans="19:19" x14ac:dyDescent="0.3">
      <c r="S234" s="6"/>
    </row>
    <row r="235" spans="19:19" x14ac:dyDescent="0.3">
      <c r="S235" s="6"/>
    </row>
    <row r="236" spans="19:19" x14ac:dyDescent="0.3">
      <c r="S236" s="6"/>
    </row>
    <row r="237" spans="19:19" x14ac:dyDescent="0.3">
      <c r="S237" s="6"/>
    </row>
    <row r="238" spans="19:19" x14ac:dyDescent="0.3">
      <c r="S238" s="6"/>
    </row>
    <row r="239" spans="19:19" x14ac:dyDescent="0.3">
      <c r="S239" s="6"/>
    </row>
    <row r="240" spans="19:19" x14ac:dyDescent="0.3">
      <c r="S240" s="6"/>
    </row>
    <row r="241" spans="19:19" x14ac:dyDescent="0.3">
      <c r="S241" s="6"/>
    </row>
    <row r="242" spans="19:19" x14ac:dyDescent="0.3">
      <c r="S242" s="6"/>
    </row>
    <row r="243" spans="19:19" x14ac:dyDescent="0.3">
      <c r="S243" s="6"/>
    </row>
    <row r="244" spans="19:19" x14ac:dyDescent="0.3">
      <c r="S244" s="6"/>
    </row>
    <row r="245" spans="19:19" x14ac:dyDescent="0.3">
      <c r="S245" s="6"/>
    </row>
    <row r="246" spans="19:19" x14ac:dyDescent="0.3">
      <c r="S246" s="6"/>
    </row>
    <row r="247" spans="19:19" x14ac:dyDescent="0.3">
      <c r="S247" s="6"/>
    </row>
    <row r="248" spans="19:19" x14ac:dyDescent="0.3">
      <c r="S248" s="6"/>
    </row>
    <row r="249" spans="19:19" x14ac:dyDescent="0.3">
      <c r="S249" s="6"/>
    </row>
    <row r="250" spans="19:19" x14ac:dyDescent="0.3">
      <c r="S250" s="6"/>
    </row>
    <row r="251" spans="19:19" x14ac:dyDescent="0.3">
      <c r="S251" s="6"/>
    </row>
    <row r="252" spans="19:19" x14ac:dyDescent="0.3">
      <c r="S252" s="6"/>
    </row>
    <row r="253" spans="19:19" x14ac:dyDescent="0.3">
      <c r="S253" s="6"/>
    </row>
    <row r="254" spans="19:19" x14ac:dyDescent="0.3">
      <c r="S254" s="6"/>
    </row>
    <row r="255" spans="19:19" x14ac:dyDescent="0.3">
      <c r="S255" s="6"/>
    </row>
    <row r="256" spans="19:19" x14ac:dyDescent="0.3">
      <c r="S256" s="6"/>
    </row>
    <row r="257" spans="19:19" x14ac:dyDescent="0.3">
      <c r="S257" s="6"/>
    </row>
    <row r="258" spans="19:19" x14ac:dyDescent="0.3">
      <c r="S258" s="6"/>
    </row>
    <row r="259" spans="19:19" x14ac:dyDescent="0.3">
      <c r="S259" s="6"/>
    </row>
    <row r="260" spans="19:19" x14ac:dyDescent="0.3">
      <c r="S260" s="6"/>
    </row>
    <row r="261" spans="19:19" x14ac:dyDescent="0.3">
      <c r="S261" s="6"/>
    </row>
    <row r="262" spans="19:19" x14ac:dyDescent="0.3">
      <c r="S262" s="6"/>
    </row>
    <row r="263" spans="19:19" x14ac:dyDescent="0.3">
      <c r="S263" s="6"/>
    </row>
    <row r="264" spans="19:19" x14ac:dyDescent="0.3">
      <c r="S264" s="6"/>
    </row>
    <row r="265" spans="19:19" x14ac:dyDescent="0.3">
      <c r="S265" s="6"/>
    </row>
    <row r="266" spans="19:19" x14ac:dyDescent="0.3">
      <c r="S266" s="6"/>
    </row>
    <row r="267" spans="19:19" x14ac:dyDescent="0.3">
      <c r="S267" s="6"/>
    </row>
    <row r="268" spans="19:19" x14ac:dyDescent="0.3">
      <c r="S268" s="6"/>
    </row>
    <row r="269" spans="19:19" x14ac:dyDescent="0.3">
      <c r="S269" s="6"/>
    </row>
    <row r="270" spans="19:19" x14ac:dyDescent="0.3">
      <c r="S270" s="6"/>
    </row>
    <row r="271" spans="19:19" x14ac:dyDescent="0.3">
      <c r="S271" s="6"/>
    </row>
    <row r="272" spans="19:19" x14ac:dyDescent="0.3">
      <c r="S272" s="6"/>
    </row>
    <row r="273" spans="19:19" x14ac:dyDescent="0.3">
      <c r="S273" s="6"/>
    </row>
    <row r="274" spans="19:19" x14ac:dyDescent="0.3">
      <c r="S274" s="6"/>
    </row>
    <row r="275" spans="19:19" x14ac:dyDescent="0.3">
      <c r="S275" s="6"/>
    </row>
    <row r="276" spans="19:19" x14ac:dyDescent="0.3">
      <c r="S276" s="6"/>
    </row>
    <row r="277" spans="19:19" x14ac:dyDescent="0.3">
      <c r="S277" s="6"/>
    </row>
    <row r="278" spans="19:19" x14ac:dyDescent="0.3">
      <c r="S278" s="6"/>
    </row>
    <row r="279" spans="19:19" x14ac:dyDescent="0.3">
      <c r="S279" s="6"/>
    </row>
    <row r="280" spans="19:19" x14ac:dyDescent="0.3">
      <c r="S280" s="6"/>
    </row>
    <row r="281" spans="19:19" x14ac:dyDescent="0.3">
      <c r="S281" s="6"/>
    </row>
    <row r="282" spans="19:19" x14ac:dyDescent="0.3">
      <c r="S282" s="6"/>
    </row>
    <row r="283" spans="19:19" x14ac:dyDescent="0.3">
      <c r="S283" s="6"/>
    </row>
    <row r="284" spans="19:19" x14ac:dyDescent="0.3">
      <c r="S284" s="6"/>
    </row>
    <row r="285" spans="19:19" x14ac:dyDescent="0.3">
      <c r="S285" s="6"/>
    </row>
    <row r="286" spans="19:19" x14ac:dyDescent="0.3">
      <c r="S286" s="6"/>
    </row>
    <row r="287" spans="19:19" x14ac:dyDescent="0.3">
      <c r="S287" s="6"/>
    </row>
    <row r="288" spans="19:19" x14ac:dyDescent="0.3">
      <c r="S288" s="6"/>
    </row>
    <row r="289" spans="19:19" x14ac:dyDescent="0.3">
      <c r="S289" s="6"/>
    </row>
    <row r="290" spans="19:19" x14ac:dyDescent="0.3">
      <c r="S290" s="6"/>
    </row>
    <row r="291" spans="19:19" x14ac:dyDescent="0.3">
      <c r="S291" s="6"/>
    </row>
    <row r="292" spans="19:19" x14ac:dyDescent="0.3">
      <c r="S292" s="6"/>
    </row>
    <row r="293" spans="19:19" x14ac:dyDescent="0.3">
      <c r="S293" s="6"/>
    </row>
    <row r="294" spans="19:19" x14ac:dyDescent="0.3">
      <c r="S294" s="6"/>
    </row>
    <row r="295" spans="19:19" x14ac:dyDescent="0.3">
      <c r="S295" s="6"/>
    </row>
    <row r="296" spans="19:19" x14ac:dyDescent="0.3">
      <c r="S296" s="6"/>
    </row>
    <row r="297" spans="19:19" x14ac:dyDescent="0.3">
      <c r="S297" s="6"/>
    </row>
    <row r="298" spans="19:19" x14ac:dyDescent="0.3">
      <c r="S298" s="6"/>
    </row>
    <row r="299" spans="19:19" x14ac:dyDescent="0.3">
      <c r="S299" s="6"/>
    </row>
    <row r="300" spans="19:19" x14ac:dyDescent="0.3">
      <c r="S300" s="6"/>
    </row>
    <row r="301" spans="19:19" x14ac:dyDescent="0.3">
      <c r="S301" s="6"/>
    </row>
    <row r="302" spans="19:19" x14ac:dyDescent="0.3">
      <c r="S302" s="6"/>
    </row>
    <row r="303" spans="19:19" x14ac:dyDescent="0.3">
      <c r="S303" s="6"/>
    </row>
    <row r="304" spans="19:19" x14ac:dyDescent="0.3">
      <c r="S304" s="6"/>
    </row>
    <row r="305" spans="19:19" x14ac:dyDescent="0.3">
      <c r="S305" s="6"/>
    </row>
    <row r="306" spans="19:19" x14ac:dyDescent="0.3">
      <c r="S306" s="6"/>
    </row>
    <row r="307" spans="19:19" x14ac:dyDescent="0.3">
      <c r="S307" s="6"/>
    </row>
    <row r="308" spans="19:19" x14ac:dyDescent="0.3">
      <c r="S308" s="6"/>
    </row>
    <row r="309" spans="19:19" x14ac:dyDescent="0.3">
      <c r="S309" s="6"/>
    </row>
    <row r="310" spans="19:19" x14ac:dyDescent="0.3">
      <c r="S310" s="6"/>
    </row>
    <row r="311" spans="19:19" x14ac:dyDescent="0.3">
      <c r="S311" s="6"/>
    </row>
    <row r="312" spans="19:19" x14ac:dyDescent="0.3">
      <c r="S312" s="6"/>
    </row>
    <row r="313" spans="19:19" x14ac:dyDescent="0.3">
      <c r="S313" s="6"/>
    </row>
    <row r="314" spans="19:19" x14ac:dyDescent="0.3">
      <c r="S314" s="6"/>
    </row>
    <row r="315" spans="19:19" x14ac:dyDescent="0.3">
      <c r="S315" s="6"/>
    </row>
    <row r="316" spans="19:19" x14ac:dyDescent="0.3">
      <c r="S316" s="6"/>
    </row>
    <row r="317" spans="19:19" x14ac:dyDescent="0.3">
      <c r="S317" s="6"/>
    </row>
    <row r="318" spans="19:19" x14ac:dyDescent="0.3">
      <c r="S318" s="6"/>
    </row>
    <row r="319" spans="19:19" x14ac:dyDescent="0.3">
      <c r="S319" s="6"/>
    </row>
    <row r="320" spans="19:19" x14ac:dyDescent="0.3">
      <c r="S320" s="6"/>
    </row>
    <row r="321" spans="19:19" x14ac:dyDescent="0.3">
      <c r="S321" s="6"/>
    </row>
    <row r="322" spans="19:19" x14ac:dyDescent="0.3">
      <c r="S322" s="6"/>
    </row>
    <row r="323" spans="19:19" x14ac:dyDescent="0.3">
      <c r="S323" s="6"/>
    </row>
    <row r="324" spans="19:19" x14ac:dyDescent="0.3">
      <c r="S324" s="6"/>
    </row>
    <row r="325" spans="19:19" x14ac:dyDescent="0.3">
      <c r="S325" s="6"/>
    </row>
    <row r="326" spans="19:19" x14ac:dyDescent="0.3">
      <c r="S326" s="6"/>
    </row>
    <row r="327" spans="19:19" x14ac:dyDescent="0.3">
      <c r="S327" s="6"/>
    </row>
    <row r="328" spans="19:19" x14ac:dyDescent="0.3">
      <c r="S328" s="6"/>
    </row>
    <row r="329" spans="19:19" x14ac:dyDescent="0.3">
      <c r="S329" s="6"/>
    </row>
    <row r="330" spans="19:19" x14ac:dyDescent="0.3">
      <c r="S330" s="6"/>
    </row>
    <row r="331" spans="19:19" x14ac:dyDescent="0.3">
      <c r="S331" s="6"/>
    </row>
    <row r="332" spans="19:19" x14ac:dyDescent="0.3">
      <c r="S332" s="6"/>
    </row>
    <row r="333" spans="19:19" x14ac:dyDescent="0.3">
      <c r="S333" s="6"/>
    </row>
    <row r="334" spans="19:19" x14ac:dyDescent="0.3">
      <c r="S334" s="6"/>
    </row>
    <row r="335" spans="19:19" x14ac:dyDescent="0.3">
      <c r="S335" s="6"/>
    </row>
    <row r="336" spans="19:19" x14ac:dyDescent="0.3">
      <c r="S336" s="6"/>
    </row>
    <row r="337" spans="19:19" x14ac:dyDescent="0.3">
      <c r="S337" s="6"/>
    </row>
    <row r="338" spans="19:19" x14ac:dyDescent="0.3">
      <c r="S338" s="6"/>
    </row>
    <row r="339" spans="19:19" x14ac:dyDescent="0.3">
      <c r="S339" s="6"/>
    </row>
    <row r="340" spans="19:19" x14ac:dyDescent="0.3">
      <c r="S340" s="6"/>
    </row>
    <row r="341" spans="19:19" x14ac:dyDescent="0.3">
      <c r="S341" s="6"/>
    </row>
    <row r="342" spans="19:19" x14ac:dyDescent="0.3">
      <c r="S342" s="6"/>
    </row>
    <row r="343" spans="19:19" x14ac:dyDescent="0.3">
      <c r="S343" s="6"/>
    </row>
    <row r="344" spans="19:19" x14ac:dyDescent="0.3">
      <c r="S344" s="6"/>
    </row>
    <row r="345" spans="19:19" x14ac:dyDescent="0.3">
      <c r="S345" s="6"/>
    </row>
    <row r="346" spans="19:19" x14ac:dyDescent="0.3">
      <c r="S346" s="6"/>
    </row>
    <row r="347" spans="19:19" x14ac:dyDescent="0.3">
      <c r="S347" s="6"/>
    </row>
    <row r="348" spans="19:19" x14ac:dyDescent="0.3">
      <c r="S348" s="6"/>
    </row>
    <row r="349" spans="19:19" x14ac:dyDescent="0.3">
      <c r="S349" s="6"/>
    </row>
    <row r="350" spans="19:19" x14ac:dyDescent="0.3">
      <c r="S350" s="6"/>
    </row>
    <row r="351" spans="19:19" x14ac:dyDescent="0.3">
      <c r="S351" s="6"/>
    </row>
    <row r="352" spans="19:19" x14ac:dyDescent="0.3">
      <c r="S352" s="6"/>
    </row>
    <row r="353" spans="19:19" x14ac:dyDescent="0.3">
      <c r="S353" s="6"/>
    </row>
    <row r="354" spans="19:19" x14ac:dyDescent="0.3">
      <c r="S354" s="6"/>
    </row>
    <row r="355" spans="19:19" x14ac:dyDescent="0.3">
      <c r="S355" s="6"/>
    </row>
    <row r="356" spans="19:19" x14ac:dyDescent="0.3">
      <c r="S356" s="6"/>
    </row>
    <row r="357" spans="19:19" x14ac:dyDescent="0.3">
      <c r="S357" s="6"/>
    </row>
    <row r="358" spans="19:19" x14ac:dyDescent="0.3">
      <c r="S358" s="6"/>
    </row>
    <row r="359" spans="19:19" x14ac:dyDescent="0.3">
      <c r="S359" s="6"/>
    </row>
    <row r="360" spans="19:19" x14ac:dyDescent="0.3">
      <c r="S360" s="6"/>
    </row>
    <row r="361" spans="19:19" x14ac:dyDescent="0.3">
      <c r="S361" s="6"/>
    </row>
    <row r="362" spans="19:19" x14ac:dyDescent="0.3">
      <c r="S362" s="6"/>
    </row>
    <row r="363" spans="19:19" x14ac:dyDescent="0.3">
      <c r="S363" s="6"/>
    </row>
    <row r="364" spans="19:19" x14ac:dyDescent="0.3">
      <c r="S364" s="6"/>
    </row>
    <row r="365" spans="19:19" x14ac:dyDescent="0.3">
      <c r="S365" s="6"/>
    </row>
    <row r="366" spans="19:19" x14ac:dyDescent="0.3">
      <c r="S366" s="6"/>
    </row>
    <row r="367" spans="19:19" x14ac:dyDescent="0.3">
      <c r="S367" s="6"/>
    </row>
    <row r="368" spans="19:19" x14ac:dyDescent="0.3">
      <c r="S368" s="6"/>
    </row>
    <row r="369" spans="19:19" x14ac:dyDescent="0.3">
      <c r="S369" s="6"/>
    </row>
    <row r="370" spans="19:19" x14ac:dyDescent="0.3">
      <c r="S370" s="6"/>
    </row>
    <row r="371" spans="19:19" x14ac:dyDescent="0.3">
      <c r="S371" s="6"/>
    </row>
    <row r="372" spans="19:19" x14ac:dyDescent="0.3">
      <c r="S372" s="6"/>
    </row>
    <row r="373" spans="19:19" x14ac:dyDescent="0.3">
      <c r="S373" s="6"/>
    </row>
    <row r="374" spans="19:19" x14ac:dyDescent="0.3">
      <c r="S374" s="6"/>
    </row>
    <row r="375" spans="19:19" x14ac:dyDescent="0.3">
      <c r="S375" s="6"/>
    </row>
    <row r="376" spans="19:19" x14ac:dyDescent="0.3">
      <c r="S376" s="6"/>
    </row>
    <row r="377" spans="19:19" x14ac:dyDescent="0.3">
      <c r="S377" s="6"/>
    </row>
    <row r="378" spans="19:19" x14ac:dyDescent="0.3">
      <c r="S378" s="6"/>
    </row>
    <row r="379" spans="19:19" x14ac:dyDescent="0.3">
      <c r="S379" s="6"/>
    </row>
    <row r="380" spans="19:19" x14ac:dyDescent="0.3">
      <c r="S380" s="6"/>
    </row>
    <row r="381" spans="19:19" x14ac:dyDescent="0.3">
      <c r="S381" s="6"/>
    </row>
    <row r="382" spans="19:19" x14ac:dyDescent="0.3">
      <c r="S382" s="6"/>
    </row>
    <row r="383" spans="19:19" x14ac:dyDescent="0.3">
      <c r="S383" s="6"/>
    </row>
    <row r="384" spans="19:19" x14ac:dyDescent="0.3">
      <c r="S384" s="6"/>
    </row>
    <row r="385" spans="19:19" x14ac:dyDescent="0.3">
      <c r="S385" s="6"/>
    </row>
    <row r="386" spans="19:19" x14ac:dyDescent="0.3">
      <c r="S386" s="6"/>
    </row>
    <row r="387" spans="19:19" x14ac:dyDescent="0.3">
      <c r="S387" s="6"/>
    </row>
    <row r="388" spans="19:19" x14ac:dyDescent="0.3">
      <c r="S388" s="6"/>
    </row>
    <row r="389" spans="19:19" x14ac:dyDescent="0.3">
      <c r="S389" s="6"/>
    </row>
    <row r="390" spans="19:19" x14ac:dyDescent="0.3">
      <c r="S390" s="6"/>
    </row>
    <row r="391" spans="19:19" x14ac:dyDescent="0.3">
      <c r="S391" s="6"/>
    </row>
    <row r="392" spans="19:19" x14ac:dyDescent="0.3">
      <c r="S392" s="6"/>
    </row>
    <row r="393" spans="19:19" x14ac:dyDescent="0.3">
      <c r="S393" s="6"/>
    </row>
    <row r="394" spans="19:19" x14ac:dyDescent="0.3">
      <c r="S394" s="6"/>
    </row>
    <row r="395" spans="19:19" x14ac:dyDescent="0.3">
      <c r="S395" s="6"/>
    </row>
    <row r="396" spans="19:19" x14ac:dyDescent="0.3">
      <c r="S396" s="6"/>
    </row>
    <row r="397" spans="19:19" x14ac:dyDescent="0.3">
      <c r="S397" s="6"/>
    </row>
    <row r="398" spans="19:19" x14ac:dyDescent="0.3">
      <c r="S398" s="6"/>
    </row>
    <row r="399" spans="19:19" x14ac:dyDescent="0.3">
      <c r="S399" s="6"/>
    </row>
    <row r="400" spans="19:19" x14ac:dyDescent="0.3">
      <c r="S400" s="6"/>
    </row>
    <row r="401" spans="19:19" x14ac:dyDescent="0.3">
      <c r="S401" s="6"/>
    </row>
    <row r="402" spans="19:19" x14ac:dyDescent="0.3">
      <c r="S402" s="6"/>
    </row>
    <row r="403" spans="19:19" x14ac:dyDescent="0.3">
      <c r="S403" s="6"/>
    </row>
    <row r="404" spans="19:19" x14ac:dyDescent="0.3">
      <c r="S404" s="6"/>
    </row>
    <row r="405" spans="19:19" x14ac:dyDescent="0.3">
      <c r="S405" s="6"/>
    </row>
    <row r="406" spans="19:19" x14ac:dyDescent="0.3">
      <c r="S406" s="6"/>
    </row>
    <row r="407" spans="19:19" x14ac:dyDescent="0.3">
      <c r="S407" s="6"/>
    </row>
    <row r="408" spans="19:19" x14ac:dyDescent="0.3">
      <c r="S408" s="6"/>
    </row>
    <row r="409" spans="19:19" x14ac:dyDescent="0.3">
      <c r="S409" s="6"/>
    </row>
    <row r="410" spans="19:19" x14ac:dyDescent="0.3">
      <c r="S410" s="6"/>
    </row>
    <row r="411" spans="19:19" x14ac:dyDescent="0.3">
      <c r="S411" s="6"/>
    </row>
    <row r="412" spans="19:19" x14ac:dyDescent="0.3">
      <c r="S412" s="6"/>
    </row>
    <row r="413" spans="19:19" x14ac:dyDescent="0.3">
      <c r="S413" s="6"/>
    </row>
    <row r="414" spans="19:19" x14ac:dyDescent="0.3">
      <c r="S414" s="6"/>
    </row>
    <row r="415" spans="19:19" x14ac:dyDescent="0.3">
      <c r="S415" s="6"/>
    </row>
    <row r="416" spans="19:19" x14ac:dyDescent="0.3">
      <c r="S416" s="6"/>
    </row>
    <row r="417" spans="19:19" x14ac:dyDescent="0.3">
      <c r="S417" s="6"/>
    </row>
    <row r="418" spans="19:19" x14ac:dyDescent="0.3">
      <c r="S418" s="6"/>
    </row>
    <row r="419" spans="19:19" x14ac:dyDescent="0.3">
      <c r="S419" s="6"/>
    </row>
    <row r="420" spans="19:19" x14ac:dyDescent="0.3">
      <c r="S420" s="6"/>
    </row>
    <row r="421" spans="19:19" x14ac:dyDescent="0.3">
      <c r="S421" s="6"/>
    </row>
    <row r="422" spans="19:19" x14ac:dyDescent="0.3">
      <c r="S422" s="6"/>
    </row>
    <row r="423" spans="19:19" x14ac:dyDescent="0.3">
      <c r="S423" s="6"/>
    </row>
    <row r="424" spans="19:19" x14ac:dyDescent="0.3">
      <c r="S424" s="6"/>
    </row>
    <row r="425" spans="19:19" x14ac:dyDescent="0.3">
      <c r="S425" s="6"/>
    </row>
    <row r="426" spans="19:19" x14ac:dyDescent="0.3">
      <c r="S426" s="6"/>
    </row>
    <row r="427" spans="19:19" x14ac:dyDescent="0.3">
      <c r="S427" s="6"/>
    </row>
    <row r="428" spans="19:19" x14ac:dyDescent="0.3">
      <c r="S428" s="6"/>
    </row>
    <row r="429" spans="19:19" x14ac:dyDescent="0.3">
      <c r="S429" s="6"/>
    </row>
    <row r="430" spans="19:19" x14ac:dyDescent="0.3">
      <c r="S430" s="6"/>
    </row>
    <row r="431" spans="19:19" x14ac:dyDescent="0.3">
      <c r="S431" s="6"/>
    </row>
    <row r="432" spans="19:19" x14ac:dyDescent="0.3">
      <c r="S432" s="6"/>
    </row>
    <row r="433" spans="19:19" x14ac:dyDescent="0.3">
      <c r="S433" s="6"/>
    </row>
    <row r="434" spans="19:19" x14ac:dyDescent="0.3">
      <c r="S434" s="6"/>
    </row>
    <row r="435" spans="19:19" x14ac:dyDescent="0.3">
      <c r="S435" s="6"/>
    </row>
    <row r="436" spans="19:19" x14ac:dyDescent="0.3">
      <c r="S436" s="6"/>
    </row>
    <row r="437" spans="19:19" x14ac:dyDescent="0.3">
      <c r="S437" s="6"/>
    </row>
    <row r="438" spans="19:19" x14ac:dyDescent="0.3">
      <c r="S438" s="6"/>
    </row>
    <row r="439" spans="19:19" x14ac:dyDescent="0.3">
      <c r="S439" s="6"/>
    </row>
    <row r="440" spans="19:19" x14ac:dyDescent="0.3">
      <c r="S440" s="6"/>
    </row>
    <row r="441" spans="19:19" x14ac:dyDescent="0.3">
      <c r="S441" s="6"/>
    </row>
    <row r="442" spans="19:19" x14ac:dyDescent="0.3">
      <c r="S442" s="6"/>
    </row>
    <row r="443" spans="19:19" x14ac:dyDescent="0.3">
      <c r="S443" s="6"/>
    </row>
    <row r="444" spans="19:19" x14ac:dyDescent="0.3">
      <c r="S444" s="6"/>
    </row>
    <row r="445" spans="19:19" x14ac:dyDescent="0.3">
      <c r="S445" s="6"/>
    </row>
    <row r="446" spans="19:19" x14ac:dyDescent="0.3">
      <c r="S446" s="6"/>
    </row>
    <row r="447" spans="19:19" x14ac:dyDescent="0.3">
      <c r="S447" s="6"/>
    </row>
    <row r="448" spans="19:19" x14ac:dyDescent="0.3">
      <c r="S448" s="6"/>
    </row>
    <row r="449" spans="19:19" x14ac:dyDescent="0.3">
      <c r="S449" s="6"/>
    </row>
    <row r="450" spans="19:19" x14ac:dyDescent="0.3">
      <c r="S450" s="6"/>
    </row>
    <row r="451" spans="19:19" x14ac:dyDescent="0.3">
      <c r="S451" s="6"/>
    </row>
    <row r="452" spans="19:19" x14ac:dyDescent="0.3">
      <c r="S452" s="6"/>
    </row>
    <row r="453" spans="19:19" x14ac:dyDescent="0.3">
      <c r="S453" s="6"/>
    </row>
    <row r="454" spans="19:19" x14ac:dyDescent="0.3">
      <c r="S454" s="6"/>
    </row>
    <row r="455" spans="19:19" x14ac:dyDescent="0.3">
      <c r="S455" s="6"/>
    </row>
    <row r="456" spans="19:19" x14ac:dyDescent="0.3">
      <c r="S456" s="6"/>
    </row>
    <row r="457" spans="19:19" x14ac:dyDescent="0.3">
      <c r="S457" s="6"/>
    </row>
    <row r="458" spans="19:19" x14ac:dyDescent="0.3">
      <c r="S458" s="6"/>
    </row>
    <row r="459" spans="19:19" x14ac:dyDescent="0.3">
      <c r="S459" s="6"/>
    </row>
    <row r="460" spans="19:19" x14ac:dyDescent="0.3">
      <c r="S460" s="6"/>
    </row>
    <row r="461" spans="19:19" x14ac:dyDescent="0.3">
      <c r="S461" s="6"/>
    </row>
    <row r="462" spans="19:19" x14ac:dyDescent="0.3">
      <c r="S462" s="6"/>
    </row>
    <row r="463" spans="19:19" x14ac:dyDescent="0.3">
      <c r="S463" s="6"/>
    </row>
    <row r="464" spans="19:19" x14ac:dyDescent="0.3">
      <c r="S464" s="6"/>
    </row>
    <row r="465" spans="19:19" x14ac:dyDescent="0.3">
      <c r="S465" s="6"/>
    </row>
    <row r="466" spans="19:19" x14ac:dyDescent="0.3">
      <c r="S466" s="6"/>
    </row>
    <row r="467" spans="19:19" x14ac:dyDescent="0.3">
      <c r="S467" s="6"/>
    </row>
    <row r="468" spans="19:19" x14ac:dyDescent="0.3">
      <c r="S468" s="6"/>
    </row>
    <row r="469" spans="19:19" x14ac:dyDescent="0.3">
      <c r="S469" s="6"/>
    </row>
    <row r="470" spans="19:19" x14ac:dyDescent="0.3">
      <c r="S470" s="6"/>
    </row>
    <row r="471" spans="19:19" x14ac:dyDescent="0.3">
      <c r="S471" s="6"/>
    </row>
    <row r="472" spans="19:19" x14ac:dyDescent="0.3">
      <c r="S472" s="6"/>
    </row>
    <row r="473" spans="19:19" x14ac:dyDescent="0.3">
      <c r="S473" s="6"/>
    </row>
    <row r="474" spans="19:19" x14ac:dyDescent="0.3">
      <c r="S474" s="6"/>
    </row>
    <row r="475" spans="19:19" x14ac:dyDescent="0.3">
      <c r="S475" s="6"/>
    </row>
    <row r="476" spans="19:19" x14ac:dyDescent="0.3">
      <c r="S476" s="6"/>
    </row>
    <row r="477" spans="19:19" x14ac:dyDescent="0.3">
      <c r="S477" s="6"/>
    </row>
    <row r="478" spans="19:19" x14ac:dyDescent="0.3">
      <c r="S478" s="6"/>
    </row>
    <row r="479" spans="19:19" x14ac:dyDescent="0.3">
      <c r="S479" s="6"/>
    </row>
    <row r="480" spans="19:19" x14ac:dyDescent="0.3">
      <c r="S480" s="6"/>
    </row>
    <row r="481" spans="19:19" x14ac:dyDescent="0.3">
      <c r="S481" s="6"/>
    </row>
    <row r="482" spans="19:19" x14ac:dyDescent="0.3">
      <c r="S482" s="6"/>
    </row>
    <row r="483" spans="19:19" x14ac:dyDescent="0.3">
      <c r="S483" s="6"/>
    </row>
    <row r="484" spans="19:19" x14ac:dyDescent="0.3">
      <c r="S484" s="6"/>
    </row>
    <row r="485" spans="19:19" x14ac:dyDescent="0.3">
      <c r="S485" s="6"/>
    </row>
    <row r="486" spans="19:19" x14ac:dyDescent="0.3">
      <c r="S486" s="6"/>
    </row>
    <row r="487" spans="19:19" x14ac:dyDescent="0.3">
      <c r="S487" s="6"/>
    </row>
    <row r="488" spans="19:19" x14ac:dyDescent="0.3">
      <c r="S488" s="6"/>
    </row>
    <row r="489" spans="19:19" x14ac:dyDescent="0.3">
      <c r="S489" s="6"/>
    </row>
    <row r="490" spans="19:19" x14ac:dyDescent="0.3">
      <c r="S490" s="6"/>
    </row>
    <row r="491" spans="19:19" x14ac:dyDescent="0.3">
      <c r="S491" s="6"/>
    </row>
    <row r="492" spans="19:19" x14ac:dyDescent="0.3">
      <c r="S492" s="6"/>
    </row>
    <row r="493" spans="19:19" x14ac:dyDescent="0.3">
      <c r="S493" s="6"/>
    </row>
    <row r="494" spans="19:19" x14ac:dyDescent="0.3">
      <c r="S494" s="6"/>
    </row>
    <row r="495" spans="19:19" x14ac:dyDescent="0.3">
      <c r="S495" s="6"/>
    </row>
    <row r="496" spans="19:19" x14ac:dyDescent="0.3">
      <c r="S496" s="6"/>
    </row>
    <row r="497" spans="19:19" x14ac:dyDescent="0.3">
      <c r="S497" s="6"/>
    </row>
    <row r="498" spans="19:19" x14ac:dyDescent="0.3">
      <c r="S498" s="6"/>
    </row>
    <row r="499" spans="19:19" x14ac:dyDescent="0.3">
      <c r="S499" s="6"/>
    </row>
    <row r="500" spans="19:19" x14ac:dyDescent="0.3">
      <c r="S500" s="6"/>
    </row>
    <row r="501" spans="19:19" x14ac:dyDescent="0.3">
      <c r="S501" s="6"/>
    </row>
    <row r="502" spans="19:19" x14ac:dyDescent="0.3">
      <c r="S502" s="6"/>
    </row>
    <row r="503" spans="19:19" x14ac:dyDescent="0.3">
      <c r="S503" s="6"/>
    </row>
    <row r="504" spans="19:19" x14ac:dyDescent="0.3">
      <c r="S504" s="6"/>
    </row>
    <row r="505" spans="19:19" x14ac:dyDescent="0.3">
      <c r="S505" s="6"/>
    </row>
    <row r="506" spans="19:19" x14ac:dyDescent="0.3">
      <c r="S506" s="6"/>
    </row>
    <row r="507" spans="19:19" x14ac:dyDescent="0.3">
      <c r="S507" s="6"/>
    </row>
    <row r="508" spans="19:19" x14ac:dyDescent="0.3">
      <c r="S508" s="6"/>
    </row>
    <row r="509" spans="19:19" x14ac:dyDescent="0.3">
      <c r="S509" s="6"/>
    </row>
    <row r="510" spans="19:19" x14ac:dyDescent="0.3">
      <c r="S510" s="6"/>
    </row>
    <row r="511" spans="19:19" x14ac:dyDescent="0.3">
      <c r="S511" s="6"/>
    </row>
    <row r="512" spans="19:19" x14ac:dyDescent="0.3">
      <c r="S512" s="6"/>
    </row>
    <row r="513" spans="19:19" x14ac:dyDescent="0.3">
      <c r="S513" s="6"/>
    </row>
    <row r="514" spans="19:19" x14ac:dyDescent="0.3">
      <c r="S514" s="6"/>
    </row>
    <row r="515" spans="19:19" x14ac:dyDescent="0.3">
      <c r="S515" s="6"/>
    </row>
    <row r="516" spans="19:19" x14ac:dyDescent="0.3">
      <c r="S516" s="6"/>
    </row>
    <row r="517" spans="19:19" x14ac:dyDescent="0.3">
      <c r="S517" s="6"/>
    </row>
    <row r="518" spans="19:19" x14ac:dyDescent="0.3">
      <c r="S518" s="6"/>
    </row>
    <row r="519" spans="19:19" x14ac:dyDescent="0.3">
      <c r="S519" s="6"/>
    </row>
    <row r="520" spans="19:19" x14ac:dyDescent="0.3">
      <c r="S520" s="6"/>
    </row>
    <row r="521" spans="19:19" x14ac:dyDescent="0.3">
      <c r="S521" s="6"/>
    </row>
    <row r="522" spans="19:19" x14ac:dyDescent="0.3">
      <c r="S522" s="6"/>
    </row>
    <row r="523" spans="19:19" x14ac:dyDescent="0.3">
      <c r="S523" s="6"/>
    </row>
    <row r="524" spans="19:19" x14ac:dyDescent="0.3">
      <c r="S524" s="6"/>
    </row>
    <row r="525" spans="19:19" x14ac:dyDescent="0.3">
      <c r="S525" s="6"/>
    </row>
    <row r="526" spans="19:19" x14ac:dyDescent="0.3">
      <c r="S526" s="6"/>
    </row>
    <row r="527" spans="19:19" x14ac:dyDescent="0.3">
      <c r="S527" s="6"/>
    </row>
    <row r="528" spans="19:19" x14ac:dyDescent="0.3">
      <c r="S528" s="6"/>
    </row>
    <row r="529" spans="19:19" x14ac:dyDescent="0.3">
      <c r="S529" s="6"/>
    </row>
    <row r="530" spans="19:19" x14ac:dyDescent="0.3">
      <c r="S530" s="6"/>
    </row>
    <row r="531" spans="19:19" x14ac:dyDescent="0.3">
      <c r="S531" s="6"/>
    </row>
    <row r="532" spans="19:19" x14ac:dyDescent="0.3">
      <c r="S532" s="6"/>
    </row>
    <row r="533" spans="19:19" x14ac:dyDescent="0.3">
      <c r="S533" s="6"/>
    </row>
    <row r="534" spans="19:19" x14ac:dyDescent="0.3">
      <c r="S534" s="6"/>
    </row>
    <row r="535" spans="19:19" x14ac:dyDescent="0.3">
      <c r="S535" s="6"/>
    </row>
    <row r="536" spans="19:19" x14ac:dyDescent="0.3">
      <c r="S536" s="6"/>
    </row>
    <row r="537" spans="19:19" x14ac:dyDescent="0.3">
      <c r="S537" s="6"/>
    </row>
    <row r="538" spans="19:19" x14ac:dyDescent="0.3">
      <c r="S538" s="6"/>
    </row>
    <row r="539" spans="19:19" x14ac:dyDescent="0.3">
      <c r="S539" s="6"/>
    </row>
    <row r="540" spans="19:19" x14ac:dyDescent="0.3">
      <c r="S540" s="6"/>
    </row>
    <row r="541" spans="19:19" x14ac:dyDescent="0.3">
      <c r="S541" s="6"/>
    </row>
    <row r="542" spans="19:19" x14ac:dyDescent="0.3">
      <c r="S542" s="6"/>
    </row>
    <row r="543" spans="19:19" x14ac:dyDescent="0.3">
      <c r="S543" s="6"/>
    </row>
    <row r="544" spans="19:19" x14ac:dyDescent="0.3">
      <c r="S544" s="6"/>
    </row>
    <row r="545" spans="19:19" x14ac:dyDescent="0.3">
      <c r="S545" s="6"/>
    </row>
    <row r="546" spans="19:19" x14ac:dyDescent="0.3">
      <c r="S546" s="6"/>
    </row>
    <row r="547" spans="19:19" x14ac:dyDescent="0.3">
      <c r="S547" s="6"/>
    </row>
    <row r="548" spans="19:19" x14ac:dyDescent="0.3">
      <c r="S548" s="6"/>
    </row>
    <row r="549" spans="19:19" x14ac:dyDescent="0.3">
      <c r="S549" s="6"/>
    </row>
    <row r="550" spans="19:19" x14ac:dyDescent="0.3">
      <c r="S550" s="6"/>
    </row>
    <row r="551" spans="19:19" x14ac:dyDescent="0.3">
      <c r="S551" s="6"/>
    </row>
    <row r="552" spans="19:19" x14ac:dyDescent="0.3">
      <c r="S552" s="6"/>
    </row>
    <row r="553" spans="19:19" x14ac:dyDescent="0.3">
      <c r="S553" s="6"/>
    </row>
    <row r="554" spans="19:19" x14ac:dyDescent="0.3">
      <c r="S554" s="6"/>
    </row>
    <row r="555" spans="19:19" x14ac:dyDescent="0.3">
      <c r="S555" s="6"/>
    </row>
    <row r="556" spans="19:19" x14ac:dyDescent="0.3">
      <c r="S556" s="6"/>
    </row>
    <row r="557" spans="19:19" x14ac:dyDescent="0.3">
      <c r="S557" s="6"/>
    </row>
    <row r="558" spans="19:19" x14ac:dyDescent="0.3">
      <c r="S558" s="6"/>
    </row>
    <row r="559" spans="19:19" x14ac:dyDescent="0.3">
      <c r="S559" s="6"/>
    </row>
    <row r="560" spans="19:19" x14ac:dyDescent="0.3">
      <c r="S560" s="6"/>
    </row>
    <row r="561" spans="19:19" x14ac:dyDescent="0.3">
      <c r="S561" s="6"/>
    </row>
    <row r="562" spans="19:19" x14ac:dyDescent="0.3">
      <c r="S562" s="6"/>
    </row>
    <row r="563" spans="19:19" x14ac:dyDescent="0.3">
      <c r="S563" s="6"/>
    </row>
    <row r="564" spans="19:19" x14ac:dyDescent="0.3">
      <c r="S564" s="6"/>
    </row>
    <row r="565" spans="19:19" x14ac:dyDescent="0.3">
      <c r="S565" s="6"/>
    </row>
    <row r="566" spans="19:19" x14ac:dyDescent="0.3">
      <c r="S566" s="6"/>
    </row>
    <row r="567" spans="19:19" x14ac:dyDescent="0.3">
      <c r="S567" s="6"/>
    </row>
    <row r="568" spans="19:19" x14ac:dyDescent="0.3">
      <c r="S568" s="6"/>
    </row>
    <row r="569" spans="19:19" x14ac:dyDescent="0.3">
      <c r="S569" s="6"/>
    </row>
    <row r="570" spans="19:19" x14ac:dyDescent="0.3">
      <c r="S570" s="6"/>
    </row>
    <row r="571" spans="19:19" x14ac:dyDescent="0.3">
      <c r="S571" s="6"/>
    </row>
    <row r="572" spans="19:19" x14ac:dyDescent="0.3">
      <c r="S572" s="6"/>
    </row>
    <row r="573" spans="19:19" x14ac:dyDescent="0.3">
      <c r="S573" s="6"/>
    </row>
    <row r="574" spans="19:19" x14ac:dyDescent="0.3">
      <c r="S574" s="6"/>
    </row>
    <row r="575" spans="19:19" x14ac:dyDescent="0.3">
      <c r="S575" s="6"/>
    </row>
    <row r="576" spans="19:19" x14ac:dyDescent="0.3">
      <c r="S576" s="6"/>
    </row>
    <row r="577" spans="19:19" x14ac:dyDescent="0.3">
      <c r="S577" s="6"/>
    </row>
    <row r="578" spans="19:19" x14ac:dyDescent="0.3">
      <c r="S578" s="6"/>
    </row>
    <row r="579" spans="19:19" x14ac:dyDescent="0.3">
      <c r="S579" s="6"/>
    </row>
    <row r="580" spans="19:19" x14ac:dyDescent="0.3">
      <c r="S580" s="6"/>
    </row>
    <row r="581" spans="19:19" x14ac:dyDescent="0.3">
      <c r="S581" s="6"/>
    </row>
    <row r="582" spans="19:19" x14ac:dyDescent="0.3">
      <c r="S582" s="6"/>
    </row>
    <row r="583" spans="19:19" x14ac:dyDescent="0.3">
      <c r="S583" s="6"/>
    </row>
    <row r="584" spans="19:19" x14ac:dyDescent="0.3">
      <c r="S584" s="6"/>
    </row>
    <row r="585" spans="19:19" x14ac:dyDescent="0.3">
      <c r="S585" s="6"/>
    </row>
    <row r="586" spans="19:19" x14ac:dyDescent="0.3">
      <c r="S586" s="6"/>
    </row>
    <row r="587" spans="19:19" x14ac:dyDescent="0.3">
      <c r="S587" s="6"/>
    </row>
    <row r="588" spans="19:19" x14ac:dyDescent="0.3">
      <c r="S588" s="6"/>
    </row>
    <row r="589" spans="19:19" x14ac:dyDescent="0.3">
      <c r="S589" s="6"/>
    </row>
    <row r="590" spans="19:19" x14ac:dyDescent="0.3">
      <c r="S590" s="6"/>
    </row>
    <row r="591" spans="19:19" x14ac:dyDescent="0.3">
      <c r="S591" s="6"/>
    </row>
    <row r="592" spans="19:19" x14ac:dyDescent="0.3">
      <c r="S592" s="6"/>
    </row>
    <row r="593" spans="19:19" x14ac:dyDescent="0.3">
      <c r="S593" s="6"/>
    </row>
    <row r="594" spans="19:19" x14ac:dyDescent="0.3">
      <c r="S594" s="6"/>
    </row>
    <row r="595" spans="19:19" x14ac:dyDescent="0.3">
      <c r="S595" s="6"/>
    </row>
    <row r="596" spans="19:19" x14ac:dyDescent="0.3">
      <c r="S596" s="6"/>
    </row>
    <row r="597" spans="19:19" x14ac:dyDescent="0.3">
      <c r="S597" s="6"/>
    </row>
    <row r="598" spans="19:19" x14ac:dyDescent="0.3">
      <c r="S598" s="6"/>
    </row>
    <row r="599" spans="19:19" x14ac:dyDescent="0.3">
      <c r="S599" s="6"/>
    </row>
    <row r="600" spans="19:19" x14ac:dyDescent="0.3">
      <c r="S600" s="6"/>
    </row>
    <row r="601" spans="19:19" x14ac:dyDescent="0.3">
      <c r="S601" s="6"/>
    </row>
    <row r="602" spans="19:19" x14ac:dyDescent="0.3">
      <c r="S602" s="6"/>
    </row>
    <row r="603" spans="19:19" x14ac:dyDescent="0.3">
      <c r="S603" s="6"/>
    </row>
    <row r="604" spans="19:19" x14ac:dyDescent="0.3">
      <c r="S604" s="6"/>
    </row>
    <row r="605" spans="19:19" x14ac:dyDescent="0.3">
      <c r="S605" s="6"/>
    </row>
    <row r="606" spans="19:19" x14ac:dyDescent="0.3">
      <c r="S606" s="6"/>
    </row>
    <row r="607" spans="19:19" x14ac:dyDescent="0.3">
      <c r="S607" s="6"/>
    </row>
    <row r="608" spans="19:19" x14ac:dyDescent="0.3">
      <c r="S608" s="6"/>
    </row>
    <row r="609" spans="19:19" x14ac:dyDescent="0.3">
      <c r="S609" s="6"/>
    </row>
    <row r="610" spans="19:19" x14ac:dyDescent="0.3">
      <c r="S610" s="6"/>
    </row>
    <row r="611" spans="19:19" x14ac:dyDescent="0.3">
      <c r="S611" s="6"/>
    </row>
    <row r="612" spans="19:19" x14ac:dyDescent="0.3">
      <c r="S612" s="6"/>
    </row>
    <row r="613" spans="19:19" x14ac:dyDescent="0.3">
      <c r="S613" s="6"/>
    </row>
    <row r="614" spans="19:19" x14ac:dyDescent="0.3">
      <c r="S614" s="6"/>
    </row>
    <row r="615" spans="19:19" x14ac:dyDescent="0.3">
      <c r="S615" s="6"/>
    </row>
    <row r="616" spans="19:19" x14ac:dyDescent="0.3">
      <c r="S616" s="6"/>
    </row>
    <row r="617" spans="19:19" x14ac:dyDescent="0.3">
      <c r="S617" s="6"/>
    </row>
    <row r="618" spans="19:19" x14ac:dyDescent="0.3">
      <c r="S618" s="6"/>
    </row>
    <row r="619" spans="19:19" x14ac:dyDescent="0.3">
      <c r="S619" s="6"/>
    </row>
    <row r="620" spans="19:19" x14ac:dyDescent="0.3">
      <c r="S620" s="6"/>
    </row>
    <row r="621" spans="19:19" x14ac:dyDescent="0.3">
      <c r="S621" s="6"/>
    </row>
    <row r="622" spans="19:19" x14ac:dyDescent="0.3">
      <c r="S622" s="6"/>
    </row>
    <row r="623" spans="19:19" x14ac:dyDescent="0.3">
      <c r="S623" s="6"/>
    </row>
    <row r="624" spans="19:19" x14ac:dyDescent="0.3">
      <c r="S624" s="6"/>
    </row>
    <row r="625" spans="19:19" x14ac:dyDescent="0.3">
      <c r="S625" s="6"/>
    </row>
    <row r="626" spans="19:19" x14ac:dyDescent="0.3">
      <c r="S626" s="6"/>
    </row>
    <row r="627" spans="19:19" x14ac:dyDescent="0.3">
      <c r="S627" s="6"/>
    </row>
    <row r="628" spans="19:19" x14ac:dyDescent="0.3">
      <c r="S628" s="6"/>
    </row>
    <row r="629" spans="19:19" x14ac:dyDescent="0.3">
      <c r="S629" s="6"/>
    </row>
    <row r="630" spans="19:19" x14ac:dyDescent="0.3">
      <c r="S630" s="6"/>
    </row>
    <row r="631" spans="19:19" x14ac:dyDescent="0.3">
      <c r="S631" s="6"/>
    </row>
    <row r="632" spans="19:19" x14ac:dyDescent="0.3">
      <c r="S632" s="6"/>
    </row>
    <row r="633" spans="19:19" x14ac:dyDescent="0.3">
      <c r="S633" s="6"/>
    </row>
    <row r="634" spans="19:19" x14ac:dyDescent="0.3">
      <c r="S634" s="6"/>
    </row>
    <row r="635" spans="19:19" x14ac:dyDescent="0.3">
      <c r="S635" s="6"/>
    </row>
    <row r="636" spans="19:19" x14ac:dyDescent="0.3">
      <c r="S636" s="6"/>
    </row>
    <row r="637" spans="19:19" x14ac:dyDescent="0.3">
      <c r="S637" s="6"/>
    </row>
    <row r="638" spans="19:19" x14ac:dyDescent="0.3">
      <c r="S638" s="6"/>
    </row>
    <row r="639" spans="19:19" x14ac:dyDescent="0.3">
      <c r="S639" s="6"/>
    </row>
    <row r="640" spans="19:19" x14ac:dyDescent="0.3">
      <c r="S640" s="6"/>
    </row>
    <row r="641" spans="19:19" x14ac:dyDescent="0.3">
      <c r="S641" s="6"/>
    </row>
    <row r="642" spans="19:19" x14ac:dyDescent="0.3">
      <c r="S642" s="6"/>
    </row>
    <row r="643" spans="19:19" x14ac:dyDescent="0.3">
      <c r="S643" s="6"/>
    </row>
    <row r="644" spans="19:19" x14ac:dyDescent="0.3">
      <c r="S644" s="6"/>
    </row>
    <row r="645" spans="19:19" x14ac:dyDescent="0.3">
      <c r="S645" s="6"/>
    </row>
    <row r="646" spans="19:19" x14ac:dyDescent="0.3">
      <c r="S646" s="6"/>
    </row>
    <row r="647" spans="19:19" x14ac:dyDescent="0.3">
      <c r="S647" s="6"/>
    </row>
    <row r="648" spans="19:19" x14ac:dyDescent="0.3">
      <c r="S648" s="6"/>
    </row>
    <row r="649" spans="19:19" x14ac:dyDescent="0.3">
      <c r="S649" s="6"/>
    </row>
    <row r="650" spans="19:19" x14ac:dyDescent="0.3">
      <c r="S650" s="6"/>
    </row>
    <row r="651" spans="19:19" x14ac:dyDescent="0.3">
      <c r="S651" s="6"/>
    </row>
    <row r="652" spans="19:19" x14ac:dyDescent="0.3">
      <c r="S652" s="6"/>
    </row>
    <row r="653" spans="19:19" x14ac:dyDescent="0.3">
      <c r="S653" s="6"/>
    </row>
    <row r="654" spans="19:19" x14ac:dyDescent="0.3">
      <c r="S654" s="6"/>
    </row>
    <row r="655" spans="19:19" x14ac:dyDescent="0.3">
      <c r="S655" s="6"/>
    </row>
    <row r="656" spans="19:19" x14ac:dyDescent="0.3">
      <c r="S656" s="6"/>
    </row>
    <row r="657" spans="19:19" x14ac:dyDescent="0.3">
      <c r="S657" s="6"/>
    </row>
    <row r="658" spans="19:19" x14ac:dyDescent="0.3">
      <c r="S658" s="6"/>
    </row>
    <row r="659" spans="19:19" x14ac:dyDescent="0.3">
      <c r="S659" s="6"/>
    </row>
    <row r="660" spans="19:19" x14ac:dyDescent="0.3">
      <c r="S660" s="6"/>
    </row>
    <row r="661" spans="19:19" x14ac:dyDescent="0.3">
      <c r="S661" s="6"/>
    </row>
    <row r="662" spans="19:19" x14ac:dyDescent="0.3">
      <c r="S662" s="6"/>
    </row>
    <row r="663" spans="19:19" x14ac:dyDescent="0.3">
      <c r="S663" s="6"/>
    </row>
    <row r="664" spans="19:19" x14ac:dyDescent="0.3">
      <c r="S664" s="6"/>
    </row>
    <row r="665" spans="19:19" x14ac:dyDescent="0.3">
      <c r="S665" s="6"/>
    </row>
    <row r="666" spans="19:19" x14ac:dyDescent="0.3">
      <c r="S666" s="6"/>
    </row>
    <row r="667" spans="19:19" x14ac:dyDescent="0.3">
      <c r="S667" s="6"/>
    </row>
    <row r="668" spans="19:19" x14ac:dyDescent="0.3">
      <c r="S668" s="6"/>
    </row>
    <row r="669" spans="19:19" x14ac:dyDescent="0.3">
      <c r="S669" s="6"/>
    </row>
    <row r="670" spans="19:19" x14ac:dyDescent="0.3">
      <c r="S670" s="6"/>
    </row>
    <row r="671" spans="19:19" x14ac:dyDescent="0.3">
      <c r="S671" s="6"/>
    </row>
    <row r="672" spans="19:19" x14ac:dyDescent="0.3">
      <c r="S672" s="6"/>
    </row>
    <row r="673" spans="19:19" x14ac:dyDescent="0.3">
      <c r="S673" s="6"/>
    </row>
    <row r="674" spans="19:19" x14ac:dyDescent="0.3">
      <c r="S674" s="6"/>
    </row>
    <row r="675" spans="19:19" x14ac:dyDescent="0.3">
      <c r="S675" s="6"/>
    </row>
    <row r="676" spans="19:19" x14ac:dyDescent="0.3">
      <c r="S676" s="6"/>
    </row>
    <row r="677" spans="19:19" x14ac:dyDescent="0.3">
      <c r="S677" s="6"/>
    </row>
    <row r="678" spans="19:19" x14ac:dyDescent="0.3">
      <c r="S678" s="6"/>
    </row>
    <row r="679" spans="19:19" x14ac:dyDescent="0.3">
      <c r="S679" s="6"/>
    </row>
    <row r="680" spans="19:19" x14ac:dyDescent="0.3">
      <c r="S680" s="6"/>
    </row>
    <row r="681" spans="19:19" x14ac:dyDescent="0.3">
      <c r="S681" s="6"/>
    </row>
    <row r="682" spans="19:19" x14ac:dyDescent="0.3">
      <c r="S682" s="6"/>
    </row>
    <row r="683" spans="19:19" x14ac:dyDescent="0.3">
      <c r="S683" s="6"/>
    </row>
    <row r="684" spans="19:19" x14ac:dyDescent="0.3">
      <c r="S684" s="6"/>
    </row>
    <row r="685" spans="19:19" x14ac:dyDescent="0.3">
      <c r="S685" s="6"/>
    </row>
    <row r="686" spans="19:19" x14ac:dyDescent="0.3">
      <c r="S686" s="6"/>
    </row>
    <row r="687" spans="19:19" x14ac:dyDescent="0.3">
      <c r="S687" s="6"/>
    </row>
    <row r="688" spans="19:19" x14ac:dyDescent="0.3">
      <c r="S688" s="6"/>
    </row>
    <row r="689" spans="19:19" x14ac:dyDescent="0.3">
      <c r="S689" s="6"/>
    </row>
    <row r="690" spans="19:19" x14ac:dyDescent="0.3">
      <c r="S690" s="6"/>
    </row>
    <row r="691" spans="19:19" x14ac:dyDescent="0.3">
      <c r="S691" s="6"/>
    </row>
    <row r="692" spans="19:19" x14ac:dyDescent="0.3">
      <c r="S692" s="6"/>
    </row>
    <row r="693" spans="19:19" x14ac:dyDescent="0.3">
      <c r="S693" s="6"/>
    </row>
    <row r="694" spans="19:19" x14ac:dyDescent="0.3">
      <c r="S694" s="6"/>
    </row>
    <row r="695" spans="19:19" x14ac:dyDescent="0.3">
      <c r="S695" s="6"/>
    </row>
    <row r="696" spans="19:19" x14ac:dyDescent="0.3">
      <c r="S696" s="6"/>
    </row>
    <row r="697" spans="19:19" x14ac:dyDescent="0.3">
      <c r="S697" s="6"/>
    </row>
    <row r="698" spans="19:19" x14ac:dyDescent="0.3">
      <c r="S698" s="6"/>
    </row>
    <row r="699" spans="19:19" x14ac:dyDescent="0.3">
      <c r="S699" s="6"/>
    </row>
    <row r="700" spans="19:19" x14ac:dyDescent="0.3">
      <c r="S700" s="6"/>
    </row>
    <row r="701" spans="19:19" x14ac:dyDescent="0.3">
      <c r="S701" s="6"/>
    </row>
    <row r="702" spans="19:19" x14ac:dyDescent="0.3">
      <c r="S702" s="6"/>
    </row>
    <row r="703" spans="19:19" x14ac:dyDescent="0.3">
      <c r="S703" s="6"/>
    </row>
    <row r="704" spans="19:19" x14ac:dyDescent="0.3">
      <c r="S704" s="6"/>
    </row>
    <row r="705" spans="19:19" x14ac:dyDescent="0.3">
      <c r="S705" s="6"/>
    </row>
    <row r="706" spans="19:19" x14ac:dyDescent="0.3">
      <c r="S706" s="6"/>
    </row>
    <row r="707" spans="19:19" x14ac:dyDescent="0.3">
      <c r="S707" s="6"/>
    </row>
    <row r="708" spans="19:19" x14ac:dyDescent="0.3">
      <c r="S708" s="6"/>
    </row>
    <row r="709" spans="19:19" x14ac:dyDescent="0.3">
      <c r="S709" s="6"/>
    </row>
    <row r="710" spans="19:19" x14ac:dyDescent="0.3">
      <c r="S710" s="6"/>
    </row>
    <row r="711" spans="19:19" x14ac:dyDescent="0.3">
      <c r="S711" s="6"/>
    </row>
    <row r="712" spans="19:19" x14ac:dyDescent="0.3">
      <c r="S712" s="6"/>
    </row>
    <row r="713" spans="19:19" x14ac:dyDescent="0.3">
      <c r="S713" s="6"/>
    </row>
    <row r="714" spans="19:19" x14ac:dyDescent="0.3">
      <c r="S714" s="6"/>
    </row>
    <row r="715" spans="19:19" x14ac:dyDescent="0.3">
      <c r="S715" s="6"/>
    </row>
    <row r="716" spans="19:19" x14ac:dyDescent="0.3">
      <c r="S716" s="6"/>
    </row>
    <row r="717" spans="19:19" x14ac:dyDescent="0.3">
      <c r="S717" s="6"/>
    </row>
    <row r="718" spans="19:19" x14ac:dyDescent="0.3">
      <c r="S718" s="6"/>
    </row>
    <row r="719" spans="19:19" x14ac:dyDescent="0.3">
      <c r="S719" s="6"/>
    </row>
    <row r="720" spans="19:19" x14ac:dyDescent="0.3">
      <c r="S720" s="6"/>
    </row>
    <row r="721" spans="19:19" x14ac:dyDescent="0.3">
      <c r="S721" s="6"/>
    </row>
    <row r="722" spans="19:19" x14ac:dyDescent="0.3">
      <c r="S722" s="6"/>
    </row>
    <row r="723" spans="19:19" x14ac:dyDescent="0.3">
      <c r="S723" s="6"/>
    </row>
    <row r="724" spans="19:19" x14ac:dyDescent="0.3">
      <c r="S724" s="6"/>
    </row>
    <row r="725" spans="19:19" x14ac:dyDescent="0.3">
      <c r="S725" s="6"/>
    </row>
    <row r="726" spans="19:19" x14ac:dyDescent="0.3">
      <c r="S726" s="6"/>
    </row>
    <row r="727" spans="19:19" x14ac:dyDescent="0.3">
      <c r="S727" s="6"/>
    </row>
    <row r="728" spans="19:19" x14ac:dyDescent="0.3">
      <c r="S728" s="6"/>
    </row>
    <row r="729" spans="19:19" x14ac:dyDescent="0.3">
      <c r="S729" s="6"/>
    </row>
    <row r="730" spans="19:19" x14ac:dyDescent="0.3">
      <c r="S730" s="6"/>
    </row>
    <row r="731" spans="19:19" x14ac:dyDescent="0.3">
      <c r="S731" s="6"/>
    </row>
    <row r="732" spans="19:19" x14ac:dyDescent="0.3">
      <c r="S732" s="6"/>
    </row>
    <row r="733" spans="19:19" x14ac:dyDescent="0.3">
      <c r="S733" s="6"/>
    </row>
    <row r="734" spans="19:19" x14ac:dyDescent="0.3">
      <c r="S734" s="6"/>
    </row>
    <row r="735" spans="19:19" x14ac:dyDescent="0.3">
      <c r="S735" s="6"/>
    </row>
    <row r="736" spans="19:19" x14ac:dyDescent="0.3">
      <c r="S736" s="6"/>
    </row>
    <row r="737" spans="19:19" x14ac:dyDescent="0.3">
      <c r="S737" s="6"/>
    </row>
    <row r="738" spans="19:19" x14ac:dyDescent="0.3">
      <c r="S738" s="6"/>
    </row>
    <row r="739" spans="19:19" x14ac:dyDescent="0.3">
      <c r="S739" s="6"/>
    </row>
    <row r="740" spans="19:19" x14ac:dyDescent="0.3">
      <c r="S740" s="6"/>
    </row>
    <row r="741" spans="19:19" x14ac:dyDescent="0.3">
      <c r="S741" s="6"/>
    </row>
    <row r="742" spans="19:19" x14ac:dyDescent="0.3">
      <c r="S742" s="6"/>
    </row>
    <row r="743" spans="19:19" x14ac:dyDescent="0.3">
      <c r="S743" s="6"/>
    </row>
    <row r="744" spans="19:19" x14ac:dyDescent="0.3">
      <c r="S744" s="6"/>
    </row>
    <row r="745" spans="19:19" x14ac:dyDescent="0.3">
      <c r="S745" s="6"/>
    </row>
    <row r="746" spans="19:19" x14ac:dyDescent="0.3">
      <c r="S746" s="6"/>
    </row>
    <row r="747" spans="19:19" x14ac:dyDescent="0.3">
      <c r="S747" s="6"/>
    </row>
    <row r="748" spans="19:19" x14ac:dyDescent="0.3">
      <c r="S748" s="6"/>
    </row>
    <row r="749" spans="19:19" x14ac:dyDescent="0.3">
      <c r="S749" s="6"/>
    </row>
    <row r="750" spans="19:19" x14ac:dyDescent="0.3">
      <c r="S750" s="6"/>
    </row>
    <row r="751" spans="19:19" x14ac:dyDescent="0.3">
      <c r="S751" s="6"/>
    </row>
    <row r="752" spans="19:19" x14ac:dyDescent="0.3">
      <c r="S752" s="6"/>
    </row>
    <row r="753" spans="19:19" x14ac:dyDescent="0.3">
      <c r="S753" s="6"/>
    </row>
    <row r="754" spans="19:19" x14ac:dyDescent="0.3">
      <c r="S754" s="6"/>
    </row>
    <row r="755" spans="19:19" x14ac:dyDescent="0.3">
      <c r="S755" s="6"/>
    </row>
    <row r="756" spans="19:19" x14ac:dyDescent="0.3">
      <c r="S756" s="6"/>
    </row>
    <row r="757" spans="19:19" x14ac:dyDescent="0.3">
      <c r="S757" s="6"/>
    </row>
    <row r="758" spans="19:19" x14ac:dyDescent="0.3">
      <c r="S758" s="6"/>
    </row>
    <row r="759" spans="19:19" x14ac:dyDescent="0.3">
      <c r="S759" s="6"/>
    </row>
    <row r="760" spans="19:19" x14ac:dyDescent="0.3">
      <c r="S760" s="6"/>
    </row>
    <row r="761" spans="19:19" x14ac:dyDescent="0.3">
      <c r="S761" s="6"/>
    </row>
    <row r="762" spans="19:19" x14ac:dyDescent="0.3">
      <c r="S762" s="6"/>
    </row>
    <row r="763" spans="19:19" x14ac:dyDescent="0.3">
      <c r="S763" s="6"/>
    </row>
    <row r="764" spans="19:19" x14ac:dyDescent="0.3">
      <c r="S764" s="6"/>
    </row>
    <row r="765" spans="19:19" x14ac:dyDescent="0.3">
      <c r="S765" s="6"/>
    </row>
    <row r="766" spans="19:19" x14ac:dyDescent="0.3">
      <c r="S766" s="6"/>
    </row>
    <row r="767" spans="19:19" x14ac:dyDescent="0.3">
      <c r="S767" s="6"/>
    </row>
    <row r="768" spans="19:19" x14ac:dyDescent="0.3">
      <c r="S768" s="6"/>
    </row>
    <row r="769" spans="19:19" x14ac:dyDescent="0.3">
      <c r="S769" s="6"/>
    </row>
    <row r="770" spans="19:19" x14ac:dyDescent="0.3">
      <c r="S770" s="6"/>
    </row>
    <row r="771" spans="19:19" x14ac:dyDescent="0.3">
      <c r="S771" s="6"/>
    </row>
    <row r="772" spans="19:19" x14ac:dyDescent="0.3">
      <c r="S772" s="6"/>
    </row>
    <row r="773" spans="19:19" x14ac:dyDescent="0.3">
      <c r="S773" s="6"/>
    </row>
    <row r="774" spans="19:19" x14ac:dyDescent="0.3">
      <c r="S774" s="6"/>
    </row>
    <row r="775" spans="19:19" x14ac:dyDescent="0.3">
      <c r="S775" s="6"/>
    </row>
    <row r="776" spans="19:19" x14ac:dyDescent="0.3">
      <c r="S776" s="6"/>
    </row>
    <row r="777" spans="19:19" x14ac:dyDescent="0.3">
      <c r="S777" s="6"/>
    </row>
    <row r="778" spans="19:19" x14ac:dyDescent="0.3">
      <c r="S778" s="6"/>
    </row>
    <row r="779" spans="19:19" x14ac:dyDescent="0.3">
      <c r="S779" s="6"/>
    </row>
    <row r="780" spans="19:19" x14ac:dyDescent="0.3">
      <c r="S780" s="6"/>
    </row>
    <row r="781" spans="19:19" x14ac:dyDescent="0.3">
      <c r="S781" s="6"/>
    </row>
    <row r="782" spans="19:19" x14ac:dyDescent="0.3">
      <c r="S782" s="6"/>
    </row>
    <row r="783" spans="19:19" x14ac:dyDescent="0.3">
      <c r="S783" s="6"/>
    </row>
    <row r="784" spans="19:19" x14ac:dyDescent="0.3">
      <c r="S784" s="6"/>
    </row>
    <row r="785" spans="19:19" x14ac:dyDescent="0.3">
      <c r="S785" s="6"/>
    </row>
    <row r="786" spans="19:19" x14ac:dyDescent="0.3">
      <c r="S786" s="6"/>
    </row>
    <row r="787" spans="19:19" x14ac:dyDescent="0.3">
      <c r="S787" s="6"/>
    </row>
    <row r="788" spans="19:19" x14ac:dyDescent="0.3">
      <c r="S788" s="6"/>
    </row>
    <row r="789" spans="19:19" x14ac:dyDescent="0.3">
      <c r="S789" s="6"/>
    </row>
    <row r="790" spans="19:19" x14ac:dyDescent="0.3">
      <c r="S790" s="6"/>
    </row>
    <row r="791" spans="19:19" x14ac:dyDescent="0.3">
      <c r="S791" s="6"/>
    </row>
    <row r="792" spans="19:19" x14ac:dyDescent="0.3">
      <c r="S792" s="6"/>
    </row>
    <row r="793" spans="19:19" x14ac:dyDescent="0.3">
      <c r="S793" s="6"/>
    </row>
    <row r="794" spans="19:19" x14ac:dyDescent="0.3">
      <c r="S794" s="6"/>
    </row>
    <row r="795" spans="19:19" x14ac:dyDescent="0.3">
      <c r="S795" s="6"/>
    </row>
    <row r="796" spans="19:19" x14ac:dyDescent="0.3">
      <c r="S796" s="6"/>
    </row>
    <row r="797" spans="19:19" x14ac:dyDescent="0.3">
      <c r="S797" s="6"/>
    </row>
    <row r="798" spans="19:19" x14ac:dyDescent="0.3">
      <c r="S798" s="6"/>
    </row>
    <row r="799" spans="19:19" x14ac:dyDescent="0.3">
      <c r="S799" s="6"/>
    </row>
    <row r="800" spans="19:19" x14ac:dyDescent="0.3">
      <c r="S800" s="6"/>
    </row>
    <row r="801" spans="19:19" x14ac:dyDescent="0.3">
      <c r="S801" s="6"/>
    </row>
    <row r="802" spans="19:19" x14ac:dyDescent="0.3">
      <c r="S802" s="6"/>
    </row>
    <row r="803" spans="19:19" x14ac:dyDescent="0.3">
      <c r="S803" s="6"/>
    </row>
    <row r="804" spans="19:19" x14ac:dyDescent="0.3">
      <c r="S804" s="6"/>
    </row>
    <row r="805" spans="19:19" x14ac:dyDescent="0.3">
      <c r="S805" s="6"/>
    </row>
    <row r="806" spans="19:19" x14ac:dyDescent="0.3">
      <c r="S806" s="6"/>
    </row>
    <row r="807" spans="19:19" x14ac:dyDescent="0.3">
      <c r="S807" s="6"/>
    </row>
    <row r="808" spans="19:19" x14ac:dyDescent="0.3">
      <c r="S808" s="6"/>
    </row>
    <row r="809" spans="19:19" x14ac:dyDescent="0.3">
      <c r="S809" s="6"/>
    </row>
    <row r="810" spans="19:19" x14ac:dyDescent="0.3">
      <c r="S810" s="6"/>
    </row>
    <row r="811" spans="19:19" x14ac:dyDescent="0.3">
      <c r="S811" s="6"/>
    </row>
    <row r="812" spans="19:19" x14ac:dyDescent="0.3">
      <c r="S812" s="6"/>
    </row>
    <row r="813" spans="19:19" x14ac:dyDescent="0.3">
      <c r="S813" s="6"/>
    </row>
    <row r="814" spans="19:19" x14ac:dyDescent="0.3">
      <c r="S814" s="6"/>
    </row>
    <row r="815" spans="19:19" x14ac:dyDescent="0.3">
      <c r="S815" s="6"/>
    </row>
    <row r="816" spans="19:19" x14ac:dyDescent="0.3">
      <c r="S816" s="6"/>
    </row>
    <row r="817" spans="19:19" x14ac:dyDescent="0.3">
      <c r="S817" s="6"/>
    </row>
    <row r="818" spans="19:19" x14ac:dyDescent="0.3">
      <c r="S818" s="6"/>
    </row>
    <row r="819" spans="19:19" x14ac:dyDescent="0.3">
      <c r="S819" s="6"/>
    </row>
    <row r="820" spans="19:19" x14ac:dyDescent="0.3">
      <c r="S820" s="6"/>
    </row>
    <row r="821" spans="19:19" x14ac:dyDescent="0.3">
      <c r="S821" s="6"/>
    </row>
    <row r="822" spans="19:19" x14ac:dyDescent="0.3">
      <c r="S822" s="6"/>
    </row>
    <row r="823" spans="19:19" x14ac:dyDescent="0.3">
      <c r="S823" s="6"/>
    </row>
    <row r="824" spans="19:19" x14ac:dyDescent="0.3">
      <c r="S824" s="6"/>
    </row>
    <row r="825" spans="19:19" x14ac:dyDescent="0.3">
      <c r="S825" s="6"/>
    </row>
    <row r="826" spans="19:19" x14ac:dyDescent="0.3">
      <c r="S826" s="6"/>
    </row>
    <row r="827" spans="19:19" x14ac:dyDescent="0.3">
      <c r="S827" s="6"/>
    </row>
    <row r="828" spans="19:19" x14ac:dyDescent="0.3">
      <c r="S828" s="6"/>
    </row>
    <row r="829" spans="19:19" x14ac:dyDescent="0.3">
      <c r="S829" s="6"/>
    </row>
    <row r="830" spans="19:19" x14ac:dyDescent="0.3">
      <c r="S830" s="6"/>
    </row>
    <row r="831" spans="19:19" x14ac:dyDescent="0.3">
      <c r="S831" s="6"/>
    </row>
    <row r="832" spans="19:19" x14ac:dyDescent="0.3">
      <c r="S832" s="6"/>
    </row>
    <row r="833" spans="19:19" x14ac:dyDescent="0.3">
      <c r="S833" s="6"/>
    </row>
    <row r="834" spans="19:19" x14ac:dyDescent="0.3">
      <c r="S834" s="6"/>
    </row>
    <row r="835" spans="19:19" x14ac:dyDescent="0.3">
      <c r="S835" s="6"/>
    </row>
    <row r="836" spans="19:19" x14ac:dyDescent="0.3">
      <c r="S836" s="6"/>
    </row>
    <row r="837" spans="19:19" x14ac:dyDescent="0.3">
      <c r="S837" s="6"/>
    </row>
    <row r="838" spans="19:19" x14ac:dyDescent="0.3">
      <c r="S838" s="6"/>
    </row>
    <row r="839" spans="19:19" x14ac:dyDescent="0.3">
      <c r="S839" s="6"/>
    </row>
    <row r="840" spans="19:19" x14ac:dyDescent="0.3">
      <c r="S840" s="6"/>
    </row>
    <row r="841" spans="19:19" x14ac:dyDescent="0.3">
      <c r="S841" s="6"/>
    </row>
    <row r="842" spans="19:19" x14ac:dyDescent="0.3">
      <c r="S842" s="6"/>
    </row>
    <row r="843" spans="19:19" x14ac:dyDescent="0.3">
      <c r="S843" s="6"/>
    </row>
    <row r="844" spans="19:19" x14ac:dyDescent="0.3">
      <c r="S844" s="6"/>
    </row>
    <row r="845" spans="19:19" x14ac:dyDescent="0.3">
      <c r="S845" s="6"/>
    </row>
    <row r="846" spans="19:19" x14ac:dyDescent="0.3">
      <c r="S846" s="6"/>
    </row>
    <row r="847" spans="19:19" x14ac:dyDescent="0.3">
      <c r="S847" s="6"/>
    </row>
    <row r="848" spans="19:19" x14ac:dyDescent="0.3">
      <c r="S848" s="6"/>
    </row>
    <row r="849" spans="19:19" x14ac:dyDescent="0.3">
      <c r="S849" s="6"/>
    </row>
    <row r="850" spans="19:19" x14ac:dyDescent="0.3">
      <c r="S850" s="6"/>
    </row>
    <row r="851" spans="19:19" x14ac:dyDescent="0.3">
      <c r="S851" s="6"/>
    </row>
    <row r="852" spans="19:19" x14ac:dyDescent="0.3">
      <c r="S852" s="6"/>
    </row>
    <row r="853" spans="19:19" x14ac:dyDescent="0.3">
      <c r="S853" s="6"/>
    </row>
    <row r="854" spans="19:19" x14ac:dyDescent="0.3">
      <c r="S854" s="6"/>
    </row>
    <row r="855" spans="19:19" x14ac:dyDescent="0.3">
      <c r="S855" s="6"/>
    </row>
    <row r="856" spans="19:19" x14ac:dyDescent="0.3">
      <c r="S856" s="6"/>
    </row>
    <row r="857" spans="19:19" x14ac:dyDescent="0.3">
      <c r="S857" s="6"/>
    </row>
    <row r="858" spans="19:19" x14ac:dyDescent="0.3">
      <c r="S858" s="6"/>
    </row>
    <row r="859" spans="19:19" x14ac:dyDescent="0.3">
      <c r="S859" s="6"/>
    </row>
    <row r="860" spans="19:19" x14ac:dyDescent="0.3">
      <c r="S860" s="6"/>
    </row>
    <row r="861" spans="19:19" x14ac:dyDescent="0.3">
      <c r="S861" s="6"/>
    </row>
    <row r="862" spans="19:19" x14ac:dyDescent="0.3">
      <c r="S862" s="6"/>
    </row>
    <row r="863" spans="19:19" x14ac:dyDescent="0.3">
      <c r="S863" s="6"/>
    </row>
    <row r="864" spans="19:19" x14ac:dyDescent="0.3">
      <c r="S864" s="6"/>
    </row>
    <row r="865" spans="19:19" x14ac:dyDescent="0.3">
      <c r="S865" s="6"/>
    </row>
    <row r="866" spans="19:19" x14ac:dyDescent="0.3">
      <c r="S866" s="6"/>
    </row>
    <row r="867" spans="19:19" x14ac:dyDescent="0.3">
      <c r="S867" s="6"/>
    </row>
    <row r="868" spans="19:19" x14ac:dyDescent="0.3">
      <c r="S868" s="6"/>
    </row>
    <row r="869" spans="19:19" x14ac:dyDescent="0.3">
      <c r="S869" s="6"/>
    </row>
    <row r="870" spans="19:19" x14ac:dyDescent="0.3">
      <c r="S870" s="6"/>
    </row>
    <row r="871" spans="19:19" x14ac:dyDescent="0.3">
      <c r="S871" s="6"/>
    </row>
    <row r="872" spans="19:19" x14ac:dyDescent="0.3">
      <c r="S872" s="6"/>
    </row>
    <row r="873" spans="19:19" x14ac:dyDescent="0.3">
      <c r="S873" s="6"/>
    </row>
    <row r="874" spans="19:19" x14ac:dyDescent="0.3">
      <c r="S874" s="6"/>
    </row>
    <row r="875" spans="19:19" x14ac:dyDescent="0.3">
      <c r="S875" s="6"/>
    </row>
    <row r="876" spans="19:19" x14ac:dyDescent="0.3">
      <c r="S876" s="6"/>
    </row>
    <row r="877" spans="19:19" x14ac:dyDescent="0.3">
      <c r="S877" s="6"/>
    </row>
    <row r="878" spans="19:19" x14ac:dyDescent="0.3">
      <c r="S878" s="6"/>
    </row>
    <row r="879" spans="19:19" x14ac:dyDescent="0.3">
      <c r="S879" s="6"/>
    </row>
    <row r="880" spans="19:19" x14ac:dyDescent="0.3">
      <c r="S880" s="6"/>
    </row>
    <row r="881" spans="19:19" x14ac:dyDescent="0.3">
      <c r="S881" s="6"/>
    </row>
    <row r="882" spans="19:19" x14ac:dyDescent="0.3">
      <c r="S882" s="6"/>
    </row>
    <row r="883" spans="19:19" x14ac:dyDescent="0.3">
      <c r="S883" s="6"/>
    </row>
    <row r="884" spans="19:19" x14ac:dyDescent="0.3">
      <c r="S884" s="6"/>
    </row>
    <row r="885" spans="19:19" x14ac:dyDescent="0.3">
      <c r="S885" s="6"/>
    </row>
    <row r="886" spans="19:19" x14ac:dyDescent="0.3">
      <c r="S886" s="6"/>
    </row>
    <row r="887" spans="19:19" x14ac:dyDescent="0.3">
      <c r="S887" s="6"/>
    </row>
    <row r="888" spans="19:19" x14ac:dyDescent="0.3">
      <c r="S888" s="6"/>
    </row>
    <row r="889" spans="19:19" x14ac:dyDescent="0.3">
      <c r="S889" s="6"/>
    </row>
    <row r="890" spans="19:19" x14ac:dyDescent="0.3">
      <c r="S890" s="6"/>
    </row>
    <row r="891" spans="19:19" x14ac:dyDescent="0.3">
      <c r="S891" s="6"/>
    </row>
    <row r="892" spans="19:19" x14ac:dyDescent="0.3">
      <c r="S892" s="6"/>
    </row>
    <row r="893" spans="19:19" x14ac:dyDescent="0.3">
      <c r="S893" s="6"/>
    </row>
    <row r="894" spans="19:19" x14ac:dyDescent="0.3">
      <c r="S894" s="6"/>
    </row>
    <row r="895" spans="19:19" x14ac:dyDescent="0.3">
      <c r="S895" s="6"/>
    </row>
    <row r="896" spans="19:19" x14ac:dyDescent="0.3">
      <c r="S896" s="6"/>
    </row>
    <row r="897" spans="19:19" x14ac:dyDescent="0.3">
      <c r="S897" s="6"/>
    </row>
    <row r="898" spans="19:19" x14ac:dyDescent="0.3">
      <c r="S898" s="6"/>
    </row>
    <row r="899" spans="19:19" x14ac:dyDescent="0.3">
      <c r="S899" s="6"/>
    </row>
    <row r="900" spans="19:19" x14ac:dyDescent="0.3">
      <c r="S900" s="6"/>
    </row>
    <row r="901" spans="19:19" x14ac:dyDescent="0.3">
      <c r="S901" s="6"/>
    </row>
    <row r="902" spans="19:19" x14ac:dyDescent="0.3">
      <c r="S902" s="6"/>
    </row>
    <row r="903" spans="19:19" x14ac:dyDescent="0.3">
      <c r="S903" s="6"/>
    </row>
    <row r="904" spans="19:19" x14ac:dyDescent="0.3">
      <c r="S904" s="6"/>
    </row>
    <row r="905" spans="19:19" x14ac:dyDescent="0.3">
      <c r="S905" s="6"/>
    </row>
    <row r="906" spans="19:19" x14ac:dyDescent="0.3">
      <c r="S906" s="6"/>
    </row>
    <row r="907" spans="19:19" x14ac:dyDescent="0.3">
      <c r="S907" s="6"/>
    </row>
    <row r="908" spans="19:19" x14ac:dyDescent="0.3">
      <c r="S908" s="6"/>
    </row>
    <row r="909" spans="19:19" x14ac:dyDescent="0.3">
      <c r="S909" s="6"/>
    </row>
    <row r="910" spans="19:19" x14ac:dyDescent="0.3">
      <c r="S910" s="6"/>
    </row>
    <row r="911" spans="19:19" x14ac:dyDescent="0.3">
      <c r="S911" s="6"/>
    </row>
    <row r="912" spans="19:19" x14ac:dyDescent="0.3">
      <c r="S912" s="6"/>
    </row>
    <row r="913" spans="19:19" x14ac:dyDescent="0.3">
      <c r="S913" s="6"/>
    </row>
    <row r="914" spans="19:19" x14ac:dyDescent="0.3">
      <c r="S914" s="6"/>
    </row>
    <row r="915" spans="19:19" x14ac:dyDescent="0.3">
      <c r="S915" s="6"/>
    </row>
    <row r="916" spans="19:19" x14ac:dyDescent="0.3">
      <c r="S916" s="6"/>
    </row>
    <row r="917" spans="19:19" x14ac:dyDescent="0.3">
      <c r="S917" s="6"/>
    </row>
    <row r="918" spans="19:19" x14ac:dyDescent="0.3">
      <c r="S918" s="6"/>
    </row>
    <row r="919" spans="19:19" x14ac:dyDescent="0.3">
      <c r="S919" s="6"/>
    </row>
    <row r="920" spans="19:19" x14ac:dyDescent="0.3">
      <c r="S920" s="6"/>
    </row>
    <row r="921" spans="19:19" x14ac:dyDescent="0.3">
      <c r="S921" s="6"/>
    </row>
    <row r="922" spans="19:19" x14ac:dyDescent="0.3">
      <c r="S922" s="6"/>
    </row>
    <row r="923" spans="19:19" x14ac:dyDescent="0.3">
      <c r="S923" s="6"/>
    </row>
    <row r="924" spans="19:19" x14ac:dyDescent="0.3">
      <c r="S924" s="6"/>
    </row>
    <row r="925" spans="19:19" x14ac:dyDescent="0.3">
      <c r="S925" s="6"/>
    </row>
    <row r="926" spans="19:19" x14ac:dyDescent="0.3">
      <c r="S926" s="6"/>
    </row>
    <row r="927" spans="19:19" x14ac:dyDescent="0.3">
      <c r="S927" s="6"/>
    </row>
    <row r="928" spans="19:19" x14ac:dyDescent="0.3">
      <c r="S928" s="6"/>
    </row>
    <row r="929" spans="19:19" x14ac:dyDescent="0.3">
      <c r="S929" s="6"/>
    </row>
    <row r="930" spans="19:19" x14ac:dyDescent="0.3">
      <c r="S930" s="6"/>
    </row>
    <row r="931" spans="19:19" x14ac:dyDescent="0.3">
      <c r="S931" s="6"/>
    </row>
    <row r="932" spans="19:19" x14ac:dyDescent="0.3">
      <c r="S932" s="6"/>
    </row>
    <row r="933" spans="19:19" x14ac:dyDescent="0.3">
      <c r="S933" s="6"/>
    </row>
    <row r="934" spans="19:19" x14ac:dyDescent="0.3">
      <c r="S934" s="6"/>
    </row>
    <row r="935" spans="19:19" x14ac:dyDescent="0.3">
      <c r="S935" s="6"/>
    </row>
    <row r="936" spans="19:19" x14ac:dyDescent="0.3">
      <c r="S936" s="6"/>
    </row>
    <row r="937" spans="19:19" x14ac:dyDescent="0.3">
      <c r="S937" s="6"/>
    </row>
    <row r="938" spans="19:19" x14ac:dyDescent="0.3">
      <c r="S938" s="6"/>
    </row>
    <row r="939" spans="19:19" x14ac:dyDescent="0.3">
      <c r="S939" s="6"/>
    </row>
    <row r="940" spans="19:19" x14ac:dyDescent="0.3">
      <c r="S940" s="6"/>
    </row>
    <row r="941" spans="19:19" x14ac:dyDescent="0.3">
      <c r="S941" s="6"/>
    </row>
    <row r="942" spans="19:19" x14ac:dyDescent="0.3">
      <c r="S942" s="6"/>
    </row>
    <row r="943" spans="19:19" x14ac:dyDescent="0.3">
      <c r="S943" s="6"/>
    </row>
    <row r="944" spans="19:19" x14ac:dyDescent="0.3">
      <c r="S944" s="6"/>
    </row>
    <row r="945" spans="19:19" x14ac:dyDescent="0.3">
      <c r="S945" s="6"/>
    </row>
    <row r="946" spans="19:19" x14ac:dyDescent="0.3">
      <c r="S946" s="6"/>
    </row>
    <row r="947" spans="19:19" x14ac:dyDescent="0.3">
      <c r="S947" s="6"/>
    </row>
    <row r="948" spans="19:19" x14ac:dyDescent="0.3">
      <c r="S948" s="6"/>
    </row>
    <row r="949" spans="19:19" x14ac:dyDescent="0.3">
      <c r="S949" s="6"/>
    </row>
    <row r="950" spans="19:19" x14ac:dyDescent="0.3">
      <c r="S950" s="6"/>
    </row>
    <row r="951" spans="19:19" x14ac:dyDescent="0.3">
      <c r="S951" s="6"/>
    </row>
    <row r="952" spans="19:19" x14ac:dyDescent="0.3">
      <c r="S952" s="6"/>
    </row>
    <row r="953" spans="19:19" x14ac:dyDescent="0.3">
      <c r="S953" s="6"/>
    </row>
    <row r="954" spans="19:19" x14ac:dyDescent="0.3">
      <c r="S954" s="6"/>
    </row>
    <row r="955" spans="19:19" x14ac:dyDescent="0.3">
      <c r="S955" s="6"/>
    </row>
    <row r="956" spans="19:19" x14ac:dyDescent="0.3">
      <c r="S956" s="6"/>
    </row>
    <row r="957" spans="19:19" x14ac:dyDescent="0.3">
      <c r="S957" s="6"/>
    </row>
    <row r="958" spans="19:19" x14ac:dyDescent="0.3">
      <c r="S958" s="6"/>
    </row>
    <row r="959" spans="19:19" x14ac:dyDescent="0.3">
      <c r="S959" s="6"/>
    </row>
    <row r="960" spans="19:19" x14ac:dyDescent="0.3">
      <c r="S960" s="6"/>
    </row>
    <row r="961" spans="19:19" x14ac:dyDescent="0.3">
      <c r="S961" s="6"/>
    </row>
    <row r="962" spans="19:19" x14ac:dyDescent="0.3">
      <c r="S962" s="6"/>
    </row>
    <row r="963" spans="19:19" x14ac:dyDescent="0.3">
      <c r="S963" s="6"/>
    </row>
    <row r="964" spans="19:19" x14ac:dyDescent="0.3">
      <c r="S964" s="6"/>
    </row>
    <row r="965" spans="19:19" x14ac:dyDescent="0.3">
      <c r="S965" s="6"/>
    </row>
    <row r="966" spans="19:19" x14ac:dyDescent="0.3">
      <c r="S966" s="6"/>
    </row>
    <row r="967" spans="19:19" x14ac:dyDescent="0.3">
      <c r="S967" s="6"/>
    </row>
    <row r="968" spans="19:19" x14ac:dyDescent="0.3">
      <c r="S968" s="6"/>
    </row>
    <row r="969" spans="19:19" x14ac:dyDescent="0.3">
      <c r="S969" s="6"/>
    </row>
    <row r="970" spans="19:19" x14ac:dyDescent="0.3">
      <c r="S970" s="6"/>
    </row>
    <row r="971" spans="19:19" x14ac:dyDescent="0.3">
      <c r="S971" s="6"/>
    </row>
    <row r="972" spans="19:19" x14ac:dyDescent="0.3">
      <c r="S972" s="6"/>
    </row>
    <row r="973" spans="19:19" x14ac:dyDescent="0.3">
      <c r="S973" s="6"/>
    </row>
    <row r="974" spans="19:19" x14ac:dyDescent="0.3">
      <c r="S974" s="6"/>
    </row>
    <row r="975" spans="19:19" x14ac:dyDescent="0.3">
      <c r="S975" s="6"/>
    </row>
    <row r="976" spans="19:19" x14ac:dyDescent="0.3">
      <c r="S976" s="6"/>
    </row>
    <row r="977" spans="19:19" x14ac:dyDescent="0.3">
      <c r="S977" s="6"/>
    </row>
    <row r="978" spans="19:19" x14ac:dyDescent="0.3">
      <c r="S978" s="6"/>
    </row>
    <row r="979" spans="19:19" x14ac:dyDescent="0.3">
      <c r="S979" s="6"/>
    </row>
    <row r="980" spans="19:19" x14ac:dyDescent="0.3">
      <c r="S980" s="6"/>
    </row>
    <row r="981" spans="19:19" x14ac:dyDescent="0.3">
      <c r="S981" s="6"/>
    </row>
    <row r="982" spans="19:19" x14ac:dyDescent="0.3">
      <c r="S982" s="6"/>
    </row>
    <row r="983" spans="19:19" x14ac:dyDescent="0.3">
      <c r="S983" s="6"/>
    </row>
    <row r="984" spans="19:19" x14ac:dyDescent="0.3">
      <c r="S984" s="6"/>
    </row>
    <row r="985" spans="19:19" x14ac:dyDescent="0.3">
      <c r="S985" s="6"/>
    </row>
    <row r="986" spans="19:19" x14ac:dyDescent="0.3">
      <c r="S986" s="6"/>
    </row>
    <row r="987" spans="19:19" x14ac:dyDescent="0.3">
      <c r="S987" s="6"/>
    </row>
    <row r="988" spans="19:19" x14ac:dyDescent="0.3">
      <c r="S988" s="6"/>
    </row>
    <row r="989" spans="19:19" x14ac:dyDescent="0.3">
      <c r="S989" s="6"/>
    </row>
    <row r="990" spans="19:19" x14ac:dyDescent="0.3">
      <c r="S990" s="6"/>
    </row>
    <row r="991" spans="19:19" x14ac:dyDescent="0.3">
      <c r="S991" s="6"/>
    </row>
    <row r="992" spans="19:19" x14ac:dyDescent="0.3">
      <c r="S992" s="6"/>
    </row>
    <row r="993" spans="19:19" x14ac:dyDescent="0.3">
      <c r="S993" s="6"/>
    </row>
    <row r="994" spans="19:19" x14ac:dyDescent="0.3">
      <c r="S994" s="6"/>
    </row>
    <row r="995" spans="19:19" x14ac:dyDescent="0.3">
      <c r="S995" s="6"/>
    </row>
    <row r="996" spans="19:19" x14ac:dyDescent="0.3">
      <c r="S996" s="6"/>
    </row>
    <row r="997" spans="19:19" x14ac:dyDescent="0.3">
      <c r="S997" s="6"/>
    </row>
    <row r="998" spans="19:19" x14ac:dyDescent="0.3">
      <c r="S998" s="6"/>
    </row>
    <row r="999" spans="19:19" x14ac:dyDescent="0.3">
      <c r="S999" s="6"/>
    </row>
    <row r="1000" spans="19:19" x14ac:dyDescent="0.3">
      <c r="S1000" s="6"/>
    </row>
    <row r="1001" spans="19:19" x14ac:dyDescent="0.3">
      <c r="S1001" s="6"/>
    </row>
    <row r="1002" spans="19:19" x14ac:dyDescent="0.3">
      <c r="S1002" s="6"/>
    </row>
    <row r="1003" spans="19:19" x14ac:dyDescent="0.3">
      <c r="S1003" s="6"/>
    </row>
    <row r="1004" spans="19:19" x14ac:dyDescent="0.3">
      <c r="S1004" s="6"/>
    </row>
    <row r="1005" spans="19:19" x14ac:dyDescent="0.3">
      <c r="S1005" s="6"/>
    </row>
    <row r="1006" spans="19:19" x14ac:dyDescent="0.3">
      <c r="S1006" s="6"/>
    </row>
    <row r="1007" spans="19:19" x14ac:dyDescent="0.3">
      <c r="S1007" s="6"/>
    </row>
    <row r="1008" spans="19:19" x14ac:dyDescent="0.3">
      <c r="S1008" s="6"/>
    </row>
    <row r="1009" spans="19:19" x14ac:dyDescent="0.3">
      <c r="S1009" s="6"/>
    </row>
    <row r="1010" spans="19:19" x14ac:dyDescent="0.3">
      <c r="S1010" s="6"/>
    </row>
    <row r="1011" spans="19:19" x14ac:dyDescent="0.3">
      <c r="S1011" s="6"/>
    </row>
    <row r="1012" spans="19:19" x14ac:dyDescent="0.3">
      <c r="S1012" s="6"/>
    </row>
    <row r="1013" spans="19:19" x14ac:dyDescent="0.3">
      <c r="S1013" s="6"/>
    </row>
    <row r="1014" spans="19:19" x14ac:dyDescent="0.3">
      <c r="S1014" s="6"/>
    </row>
    <row r="1015" spans="19:19" x14ac:dyDescent="0.3">
      <c r="S1015" s="6"/>
    </row>
    <row r="1016" spans="19:19" x14ac:dyDescent="0.3">
      <c r="S1016" s="6"/>
    </row>
    <row r="1017" spans="19:19" x14ac:dyDescent="0.3">
      <c r="S1017" s="6"/>
    </row>
    <row r="1018" spans="19:19" x14ac:dyDescent="0.3">
      <c r="S1018" s="6"/>
    </row>
    <row r="1019" spans="19:19" x14ac:dyDescent="0.3">
      <c r="S1019" s="6"/>
    </row>
    <row r="1020" spans="19:19" x14ac:dyDescent="0.3">
      <c r="S1020" s="6"/>
    </row>
    <row r="1021" spans="19:19" x14ac:dyDescent="0.3">
      <c r="S1021" s="6"/>
    </row>
    <row r="1022" spans="19:19" x14ac:dyDescent="0.3">
      <c r="S1022" s="6"/>
    </row>
    <row r="1023" spans="19:19" x14ac:dyDescent="0.3">
      <c r="S1023" s="6"/>
    </row>
    <row r="1024" spans="19:19" x14ac:dyDescent="0.3">
      <c r="S1024" s="6"/>
    </row>
    <row r="1025" spans="19:19" x14ac:dyDescent="0.3">
      <c r="S1025" s="6"/>
    </row>
    <row r="1026" spans="19:19" x14ac:dyDescent="0.3">
      <c r="S1026" s="6"/>
    </row>
    <row r="1027" spans="19:19" x14ac:dyDescent="0.3">
      <c r="S1027" s="6"/>
    </row>
    <row r="1028" spans="19:19" x14ac:dyDescent="0.3">
      <c r="S1028" s="6"/>
    </row>
    <row r="1029" spans="19:19" x14ac:dyDescent="0.3">
      <c r="S1029" s="6"/>
    </row>
    <row r="1030" spans="19:19" x14ac:dyDescent="0.3">
      <c r="S1030" s="6"/>
    </row>
    <row r="1031" spans="19:19" x14ac:dyDescent="0.3">
      <c r="S1031" s="6"/>
    </row>
    <row r="1032" spans="19:19" x14ac:dyDescent="0.3">
      <c r="S1032" s="6"/>
    </row>
    <row r="1033" spans="19:19" x14ac:dyDescent="0.3">
      <c r="S1033" s="6"/>
    </row>
    <row r="1034" spans="19:19" x14ac:dyDescent="0.3">
      <c r="S1034" s="6"/>
    </row>
    <row r="1035" spans="19:19" x14ac:dyDescent="0.3">
      <c r="S1035" s="6"/>
    </row>
    <row r="1036" spans="19:19" x14ac:dyDescent="0.3">
      <c r="S1036" s="6"/>
    </row>
    <row r="1037" spans="19:19" x14ac:dyDescent="0.3">
      <c r="S1037" s="6"/>
    </row>
    <row r="1038" spans="19:19" x14ac:dyDescent="0.3">
      <c r="S1038" s="6"/>
    </row>
    <row r="1039" spans="19:19" x14ac:dyDescent="0.3">
      <c r="S1039" s="6"/>
    </row>
    <row r="1040" spans="19:19" x14ac:dyDescent="0.3">
      <c r="S1040" s="6"/>
    </row>
    <row r="1041" spans="19:19" x14ac:dyDescent="0.3">
      <c r="S1041" s="6"/>
    </row>
    <row r="1042" spans="19:19" x14ac:dyDescent="0.3">
      <c r="S1042" s="6"/>
    </row>
    <row r="1043" spans="19:19" x14ac:dyDescent="0.3">
      <c r="S1043" s="6"/>
    </row>
    <row r="1044" spans="19:19" x14ac:dyDescent="0.3">
      <c r="S1044" s="6"/>
    </row>
    <row r="1045" spans="19:19" x14ac:dyDescent="0.3">
      <c r="S1045" s="6"/>
    </row>
    <row r="1046" spans="19:19" x14ac:dyDescent="0.3">
      <c r="S1046" s="6"/>
    </row>
    <row r="1047" spans="19:19" x14ac:dyDescent="0.3">
      <c r="S1047" s="6"/>
    </row>
    <row r="1048" spans="19:19" x14ac:dyDescent="0.3">
      <c r="S1048" s="6"/>
    </row>
    <row r="1049" spans="19:19" x14ac:dyDescent="0.3">
      <c r="S1049" s="6"/>
    </row>
    <row r="1050" spans="19:19" x14ac:dyDescent="0.3">
      <c r="S1050" s="6"/>
    </row>
    <row r="1051" spans="19:19" x14ac:dyDescent="0.3">
      <c r="S1051" s="6"/>
    </row>
    <row r="1052" spans="19:19" x14ac:dyDescent="0.3">
      <c r="S1052" s="6"/>
    </row>
    <row r="1053" spans="19:19" x14ac:dyDescent="0.3">
      <c r="S1053" s="6"/>
    </row>
    <row r="1054" spans="19:19" x14ac:dyDescent="0.3">
      <c r="S1054" s="6"/>
    </row>
    <row r="1055" spans="19:19" x14ac:dyDescent="0.3">
      <c r="S1055" s="6"/>
    </row>
    <row r="1056" spans="19:19" x14ac:dyDescent="0.3">
      <c r="S1056" s="6"/>
    </row>
    <row r="1057" spans="19:19" x14ac:dyDescent="0.3">
      <c r="S1057" s="6"/>
    </row>
    <row r="1058" spans="19:19" x14ac:dyDescent="0.3">
      <c r="S1058" s="6"/>
    </row>
    <row r="1059" spans="19:19" x14ac:dyDescent="0.3">
      <c r="S1059" s="6"/>
    </row>
    <row r="1060" spans="19:19" x14ac:dyDescent="0.3">
      <c r="S1060" s="6"/>
    </row>
    <row r="1061" spans="19:19" x14ac:dyDescent="0.3">
      <c r="S1061" s="6"/>
    </row>
    <row r="1062" spans="19:19" x14ac:dyDescent="0.3">
      <c r="S1062" s="6"/>
    </row>
    <row r="1063" spans="19:19" x14ac:dyDescent="0.3">
      <c r="S1063" s="6"/>
    </row>
    <row r="1064" spans="19:19" x14ac:dyDescent="0.3">
      <c r="S1064" s="6"/>
    </row>
    <row r="1065" spans="19:19" x14ac:dyDescent="0.3">
      <c r="S1065" s="6"/>
    </row>
    <row r="1066" spans="19:19" x14ac:dyDescent="0.3">
      <c r="S1066" s="6"/>
    </row>
    <row r="1067" spans="19:19" x14ac:dyDescent="0.3">
      <c r="S1067" s="6"/>
    </row>
    <row r="1068" spans="19:19" x14ac:dyDescent="0.3">
      <c r="S1068" s="6"/>
    </row>
    <row r="1069" spans="19:19" x14ac:dyDescent="0.3">
      <c r="S1069" s="6"/>
    </row>
    <row r="1070" spans="19:19" x14ac:dyDescent="0.3">
      <c r="S1070" s="6"/>
    </row>
    <row r="1071" spans="19:19" x14ac:dyDescent="0.3">
      <c r="S1071" s="6"/>
    </row>
    <row r="1072" spans="19:19" x14ac:dyDescent="0.3">
      <c r="S1072" s="6"/>
    </row>
    <row r="1073" spans="19:19" x14ac:dyDescent="0.3">
      <c r="S1073" s="6"/>
    </row>
    <row r="1074" spans="19:19" x14ac:dyDescent="0.3">
      <c r="S1074" s="6"/>
    </row>
    <row r="1075" spans="19:19" x14ac:dyDescent="0.3">
      <c r="S1075" s="6"/>
    </row>
    <row r="1076" spans="19:19" x14ac:dyDescent="0.3">
      <c r="S1076" s="6"/>
    </row>
    <row r="1077" spans="19:19" x14ac:dyDescent="0.3">
      <c r="S1077" s="6"/>
    </row>
    <row r="1078" spans="19:19" x14ac:dyDescent="0.3">
      <c r="S1078" s="6"/>
    </row>
    <row r="1079" spans="19:19" x14ac:dyDescent="0.3">
      <c r="S1079" s="6"/>
    </row>
    <row r="1080" spans="19:19" x14ac:dyDescent="0.3">
      <c r="S1080" s="6"/>
    </row>
    <row r="1081" spans="19:19" x14ac:dyDescent="0.3">
      <c r="S1081" s="6"/>
    </row>
    <row r="1082" spans="19:19" x14ac:dyDescent="0.3">
      <c r="S1082" s="6"/>
    </row>
    <row r="1083" spans="19:19" x14ac:dyDescent="0.3">
      <c r="S1083" s="6"/>
    </row>
    <row r="1084" spans="19:19" x14ac:dyDescent="0.3">
      <c r="S1084" s="6"/>
    </row>
    <row r="1085" spans="19:19" x14ac:dyDescent="0.3">
      <c r="S1085" s="6"/>
    </row>
    <row r="1086" spans="19:19" x14ac:dyDescent="0.3">
      <c r="S1086" s="6"/>
    </row>
    <row r="1087" spans="19:19" x14ac:dyDescent="0.3">
      <c r="S1087" s="6"/>
    </row>
    <row r="1088" spans="19:19" x14ac:dyDescent="0.3">
      <c r="S1088" s="6"/>
    </row>
    <row r="1089" spans="19:19" x14ac:dyDescent="0.3">
      <c r="S1089" s="6"/>
    </row>
    <row r="1090" spans="19:19" x14ac:dyDescent="0.3">
      <c r="S1090" s="6"/>
    </row>
    <row r="1091" spans="19:19" x14ac:dyDescent="0.3">
      <c r="S1091" s="6"/>
    </row>
    <row r="1092" spans="19:19" x14ac:dyDescent="0.3">
      <c r="S1092" s="6"/>
    </row>
    <row r="1093" spans="19:19" x14ac:dyDescent="0.3">
      <c r="S1093" s="6"/>
    </row>
    <row r="1094" spans="19:19" x14ac:dyDescent="0.3">
      <c r="S1094" s="6"/>
    </row>
    <row r="1095" spans="19:19" x14ac:dyDescent="0.3">
      <c r="S1095" s="6"/>
    </row>
    <row r="1096" spans="19:19" x14ac:dyDescent="0.3">
      <c r="S1096" s="6"/>
    </row>
    <row r="1097" spans="19:19" x14ac:dyDescent="0.3">
      <c r="S1097" s="6"/>
    </row>
    <row r="1098" spans="19:19" x14ac:dyDescent="0.3">
      <c r="S1098" s="6"/>
    </row>
    <row r="1099" spans="19:19" x14ac:dyDescent="0.3">
      <c r="S1099" s="6"/>
    </row>
    <row r="1100" spans="19:19" x14ac:dyDescent="0.3">
      <c r="S1100" s="6"/>
    </row>
    <row r="1101" spans="19:19" x14ac:dyDescent="0.3">
      <c r="S1101" s="6"/>
    </row>
    <row r="1102" spans="19:19" x14ac:dyDescent="0.3">
      <c r="S1102" s="6"/>
    </row>
    <row r="1103" spans="19:19" x14ac:dyDescent="0.3">
      <c r="S1103" s="6"/>
    </row>
    <row r="1104" spans="19:19" x14ac:dyDescent="0.3">
      <c r="S1104" s="6"/>
    </row>
    <row r="1105" spans="19:19" x14ac:dyDescent="0.3">
      <c r="S1105" s="6"/>
    </row>
    <row r="1106" spans="19:19" x14ac:dyDescent="0.3">
      <c r="S1106" s="6"/>
    </row>
    <row r="1107" spans="19:19" x14ac:dyDescent="0.3">
      <c r="S1107" s="6"/>
    </row>
    <row r="1108" spans="19:19" x14ac:dyDescent="0.3">
      <c r="S1108" s="6"/>
    </row>
    <row r="1109" spans="19:19" x14ac:dyDescent="0.3">
      <c r="S1109" s="6"/>
    </row>
    <row r="1110" spans="19:19" x14ac:dyDescent="0.3">
      <c r="S1110" s="6"/>
    </row>
    <row r="1111" spans="19:19" x14ac:dyDescent="0.3">
      <c r="S1111" s="6"/>
    </row>
    <row r="1112" spans="19:19" x14ac:dyDescent="0.3">
      <c r="S1112" s="6"/>
    </row>
    <row r="1113" spans="19:19" x14ac:dyDescent="0.3">
      <c r="S1113" s="6"/>
    </row>
    <row r="1114" spans="19:19" x14ac:dyDescent="0.3">
      <c r="S1114" s="6"/>
    </row>
    <row r="1115" spans="19:19" x14ac:dyDescent="0.3">
      <c r="S1115" s="6"/>
    </row>
    <row r="1116" spans="19:19" x14ac:dyDescent="0.3">
      <c r="S1116" s="6"/>
    </row>
    <row r="1117" spans="19:19" x14ac:dyDescent="0.3">
      <c r="S1117" s="6"/>
    </row>
    <row r="1118" spans="19:19" x14ac:dyDescent="0.3">
      <c r="S1118" s="6"/>
    </row>
    <row r="1119" spans="19:19" x14ac:dyDescent="0.3">
      <c r="S1119" s="6"/>
    </row>
    <row r="1120" spans="19:19" x14ac:dyDescent="0.3">
      <c r="S1120" s="6"/>
    </row>
    <row r="1121" spans="19:19" x14ac:dyDescent="0.3">
      <c r="S1121" s="6"/>
    </row>
    <row r="1122" spans="19:19" x14ac:dyDescent="0.3">
      <c r="S1122" s="6"/>
    </row>
    <row r="1123" spans="19:19" x14ac:dyDescent="0.3">
      <c r="S1123" s="6"/>
    </row>
    <row r="1124" spans="19:19" x14ac:dyDescent="0.3">
      <c r="S1124" s="6"/>
    </row>
    <row r="1125" spans="19:19" x14ac:dyDescent="0.3">
      <c r="S1125" s="6"/>
    </row>
    <row r="1126" spans="19:19" x14ac:dyDescent="0.3">
      <c r="S1126" s="6"/>
    </row>
    <row r="1127" spans="19:19" x14ac:dyDescent="0.3">
      <c r="S1127" s="6"/>
    </row>
    <row r="1128" spans="19:19" x14ac:dyDescent="0.3">
      <c r="S1128" s="6"/>
    </row>
    <row r="1129" spans="19:19" x14ac:dyDescent="0.3">
      <c r="S1129" s="6"/>
    </row>
    <row r="1130" spans="19:19" x14ac:dyDescent="0.3">
      <c r="S1130" s="6"/>
    </row>
    <row r="1131" spans="19:19" x14ac:dyDescent="0.3">
      <c r="S1131" s="6"/>
    </row>
    <row r="1132" spans="19:19" x14ac:dyDescent="0.3">
      <c r="S1132" s="6"/>
    </row>
    <row r="1133" spans="19:19" x14ac:dyDescent="0.3">
      <c r="S1133" s="6"/>
    </row>
    <row r="1134" spans="19:19" x14ac:dyDescent="0.3">
      <c r="S1134" s="6"/>
    </row>
    <row r="1135" spans="19:19" x14ac:dyDescent="0.3">
      <c r="S1135" s="6"/>
    </row>
    <row r="1136" spans="19:19" x14ac:dyDescent="0.3">
      <c r="S1136" s="6"/>
    </row>
    <row r="1137" spans="19:19" x14ac:dyDescent="0.3">
      <c r="S1137" s="6"/>
    </row>
    <row r="1138" spans="19:19" x14ac:dyDescent="0.3">
      <c r="S1138" s="6"/>
    </row>
    <row r="1139" spans="19:19" x14ac:dyDescent="0.3">
      <c r="S1139" s="6"/>
    </row>
    <row r="1140" spans="19:19" x14ac:dyDescent="0.3">
      <c r="S1140" s="6"/>
    </row>
    <row r="1141" spans="19:19" x14ac:dyDescent="0.3">
      <c r="S1141" s="6"/>
    </row>
    <row r="1142" spans="19:19" x14ac:dyDescent="0.3">
      <c r="S1142" s="6"/>
    </row>
    <row r="1143" spans="19:19" x14ac:dyDescent="0.3">
      <c r="S1143" s="6"/>
    </row>
    <row r="1144" spans="19:19" x14ac:dyDescent="0.3">
      <c r="S1144" s="6"/>
    </row>
    <row r="1145" spans="19:19" x14ac:dyDescent="0.3">
      <c r="S1145" s="6"/>
    </row>
    <row r="1146" spans="19:19" x14ac:dyDescent="0.3">
      <c r="S1146" s="6"/>
    </row>
    <row r="1147" spans="19:19" x14ac:dyDescent="0.3">
      <c r="S1147" s="6"/>
    </row>
    <row r="1148" spans="19:19" x14ac:dyDescent="0.3">
      <c r="S1148" s="6"/>
    </row>
    <row r="1149" spans="19:19" x14ac:dyDescent="0.3">
      <c r="S1149" s="6"/>
    </row>
    <row r="1150" spans="19:19" x14ac:dyDescent="0.3">
      <c r="S1150" s="6"/>
    </row>
    <row r="1151" spans="19:19" x14ac:dyDescent="0.3">
      <c r="S1151" s="6"/>
    </row>
    <row r="1152" spans="19:19" x14ac:dyDescent="0.3">
      <c r="S1152" s="6"/>
    </row>
    <row r="1153" spans="19:19" x14ac:dyDescent="0.3">
      <c r="S1153" s="6"/>
    </row>
    <row r="1154" spans="19:19" x14ac:dyDescent="0.3">
      <c r="S1154" s="6"/>
    </row>
    <row r="1155" spans="19:19" x14ac:dyDescent="0.3">
      <c r="S1155" s="6"/>
    </row>
    <row r="1156" spans="19:19" x14ac:dyDescent="0.3">
      <c r="S1156" s="6"/>
    </row>
    <row r="1157" spans="19:19" x14ac:dyDescent="0.3">
      <c r="S1157" s="6"/>
    </row>
    <row r="1158" spans="19:19" x14ac:dyDescent="0.3">
      <c r="S1158" s="6"/>
    </row>
    <row r="1159" spans="19:19" x14ac:dyDescent="0.3">
      <c r="S1159" s="6"/>
    </row>
    <row r="1160" spans="19:19" x14ac:dyDescent="0.3">
      <c r="S1160" s="6"/>
    </row>
    <row r="1161" spans="19:19" x14ac:dyDescent="0.3">
      <c r="S1161" s="6"/>
    </row>
    <row r="1162" spans="19:19" x14ac:dyDescent="0.3">
      <c r="S1162" s="6"/>
    </row>
    <row r="1163" spans="19:19" x14ac:dyDescent="0.3">
      <c r="S1163" s="6"/>
    </row>
    <row r="1164" spans="19:19" x14ac:dyDescent="0.3">
      <c r="S1164" s="6"/>
    </row>
    <row r="1165" spans="19:19" x14ac:dyDescent="0.3">
      <c r="S1165" s="6"/>
    </row>
    <row r="1166" spans="19:19" x14ac:dyDescent="0.3">
      <c r="S1166" s="6"/>
    </row>
    <row r="1167" spans="19:19" x14ac:dyDescent="0.3">
      <c r="S1167" s="6"/>
    </row>
    <row r="1168" spans="19:19" x14ac:dyDescent="0.3">
      <c r="S1168" s="6"/>
    </row>
    <row r="1169" spans="19:19" x14ac:dyDescent="0.3">
      <c r="S1169" s="6"/>
    </row>
    <row r="1170" spans="19:19" x14ac:dyDescent="0.3">
      <c r="S1170" s="6"/>
    </row>
    <row r="1171" spans="19:19" x14ac:dyDescent="0.3">
      <c r="S1171" s="6"/>
    </row>
    <row r="1172" spans="19:19" x14ac:dyDescent="0.3">
      <c r="S1172" s="6"/>
    </row>
    <row r="1173" spans="19:19" x14ac:dyDescent="0.3">
      <c r="S1173" s="6"/>
    </row>
    <row r="1174" spans="19:19" x14ac:dyDescent="0.3">
      <c r="S1174" s="6"/>
    </row>
    <row r="1175" spans="19:19" x14ac:dyDescent="0.3">
      <c r="S1175" s="6"/>
    </row>
    <row r="1176" spans="19:19" x14ac:dyDescent="0.3">
      <c r="S1176" s="6"/>
    </row>
    <row r="1177" spans="19:19" x14ac:dyDescent="0.3">
      <c r="S1177" s="6"/>
    </row>
    <row r="1178" spans="19:19" x14ac:dyDescent="0.3">
      <c r="S1178" s="6"/>
    </row>
    <row r="1179" spans="19:19" x14ac:dyDescent="0.3">
      <c r="S1179" s="6"/>
    </row>
    <row r="1180" spans="19:19" x14ac:dyDescent="0.3">
      <c r="S1180" s="6"/>
    </row>
    <row r="1181" spans="19:19" x14ac:dyDescent="0.3">
      <c r="S1181" s="6"/>
    </row>
    <row r="1182" spans="19:19" x14ac:dyDescent="0.3">
      <c r="S1182" s="6"/>
    </row>
    <row r="1183" spans="19:19" x14ac:dyDescent="0.3">
      <c r="S1183" s="6"/>
    </row>
    <row r="1184" spans="19:19" x14ac:dyDescent="0.3">
      <c r="S1184" s="6"/>
    </row>
    <row r="1185" spans="19:19" x14ac:dyDescent="0.3">
      <c r="S1185" s="6"/>
    </row>
    <row r="1186" spans="19:19" x14ac:dyDescent="0.3">
      <c r="S1186" s="6"/>
    </row>
    <row r="1187" spans="19:19" x14ac:dyDescent="0.3">
      <c r="S1187" s="6"/>
    </row>
    <row r="1188" spans="19:19" x14ac:dyDescent="0.3">
      <c r="S1188" s="6"/>
    </row>
    <row r="1189" spans="19:19" x14ac:dyDescent="0.3">
      <c r="S1189" s="6"/>
    </row>
    <row r="1190" spans="19:19" x14ac:dyDescent="0.3">
      <c r="S1190" s="6"/>
    </row>
    <row r="1191" spans="19:19" x14ac:dyDescent="0.3">
      <c r="S1191" s="6"/>
    </row>
    <row r="1192" spans="19:19" x14ac:dyDescent="0.3">
      <c r="S1192" s="6"/>
    </row>
    <row r="1193" spans="19:19" x14ac:dyDescent="0.3">
      <c r="S1193" s="6"/>
    </row>
    <row r="1194" spans="19:19" x14ac:dyDescent="0.3">
      <c r="S1194" s="6"/>
    </row>
    <row r="1195" spans="19:19" x14ac:dyDescent="0.3">
      <c r="S1195" s="6"/>
    </row>
    <row r="1196" spans="19:19" x14ac:dyDescent="0.3">
      <c r="S1196" s="6"/>
    </row>
    <row r="1197" spans="19:19" x14ac:dyDescent="0.3">
      <c r="S1197" s="6"/>
    </row>
    <row r="1198" spans="19:19" x14ac:dyDescent="0.3">
      <c r="S1198" s="6"/>
    </row>
    <row r="1199" spans="19:19" x14ac:dyDescent="0.3">
      <c r="S1199" s="6"/>
    </row>
    <row r="1200" spans="19:19" x14ac:dyDescent="0.3">
      <c r="S1200" s="6"/>
    </row>
    <row r="1201" spans="19:19" x14ac:dyDescent="0.3">
      <c r="S1201" s="6"/>
    </row>
    <row r="1202" spans="19:19" x14ac:dyDescent="0.3">
      <c r="S1202" s="6"/>
    </row>
    <row r="1203" spans="19:19" x14ac:dyDescent="0.3">
      <c r="S1203" s="6"/>
    </row>
    <row r="1204" spans="19:19" x14ac:dyDescent="0.3">
      <c r="S1204" s="6"/>
    </row>
    <row r="1205" spans="19:19" x14ac:dyDescent="0.3">
      <c r="S1205" s="6"/>
    </row>
    <row r="1206" spans="19:19" x14ac:dyDescent="0.3">
      <c r="S1206" s="6"/>
    </row>
    <row r="1207" spans="19:19" x14ac:dyDescent="0.3">
      <c r="S1207" s="6"/>
    </row>
    <row r="1208" spans="19:19" x14ac:dyDescent="0.3">
      <c r="S1208" s="6"/>
    </row>
    <row r="1209" spans="19:19" x14ac:dyDescent="0.3">
      <c r="S1209" s="6"/>
    </row>
    <row r="1210" spans="19:19" x14ac:dyDescent="0.3">
      <c r="S1210" s="6"/>
    </row>
    <row r="1211" spans="19:19" x14ac:dyDescent="0.3">
      <c r="S1211" s="6"/>
    </row>
    <row r="1212" spans="19:19" x14ac:dyDescent="0.3">
      <c r="S1212" s="6"/>
    </row>
    <row r="1213" spans="19:19" x14ac:dyDescent="0.3">
      <c r="S1213" s="6"/>
    </row>
    <row r="1214" spans="19:19" x14ac:dyDescent="0.3">
      <c r="S1214" s="6"/>
    </row>
    <row r="1215" spans="19:19" x14ac:dyDescent="0.3">
      <c r="S1215" s="6"/>
    </row>
    <row r="1216" spans="19:19" x14ac:dyDescent="0.3">
      <c r="S1216" s="6"/>
    </row>
    <row r="1217" spans="19:19" x14ac:dyDescent="0.3">
      <c r="S1217" s="6"/>
    </row>
    <row r="1218" spans="19:19" x14ac:dyDescent="0.3">
      <c r="S1218" s="6"/>
    </row>
    <row r="1219" spans="19:19" x14ac:dyDescent="0.3">
      <c r="S1219" s="6"/>
    </row>
    <row r="1220" spans="19:19" x14ac:dyDescent="0.3">
      <c r="S1220" s="6"/>
    </row>
    <row r="1221" spans="19:19" x14ac:dyDescent="0.3">
      <c r="S1221" s="6"/>
    </row>
    <row r="1222" spans="19:19" x14ac:dyDescent="0.3">
      <c r="S1222" s="6"/>
    </row>
    <row r="1223" spans="19:19" x14ac:dyDescent="0.3">
      <c r="S1223" s="6"/>
    </row>
    <row r="1224" spans="19:19" x14ac:dyDescent="0.3">
      <c r="S1224" s="6"/>
    </row>
    <row r="1225" spans="19:19" x14ac:dyDescent="0.3">
      <c r="S1225" s="6"/>
    </row>
    <row r="1226" spans="19:19" x14ac:dyDescent="0.3">
      <c r="S1226" s="6"/>
    </row>
    <row r="1227" spans="19:19" x14ac:dyDescent="0.3">
      <c r="S1227" s="6"/>
    </row>
    <row r="1228" spans="19:19" x14ac:dyDescent="0.3">
      <c r="S1228" s="6"/>
    </row>
    <row r="1229" spans="19:19" x14ac:dyDescent="0.3">
      <c r="S1229" s="6"/>
    </row>
    <row r="1230" spans="19:19" x14ac:dyDescent="0.3">
      <c r="S1230" s="6"/>
    </row>
    <row r="1231" spans="19:19" x14ac:dyDescent="0.3">
      <c r="S1231" s="6"/>
    </row>
    <row r="1232" spans="19:19" x14ac:dyDescent="0.3">
      <c r="S1232" s="6"/>
    </row>
    <row r="1233" spans="19:19" x14ac:dyDescent="0.3">
      <c r="S1233" s="6"/>
    </row>
    <row r="1234" spans="19:19" x14ac:dyDescent="0.3">
      <c r="S1234" s="6"/>
    </row>
    <row r="1235" spans="19:19" x14ac:dyDescent="0.3">
      <c r="S1235" s="6"/>
    </row>
    <row r="1236" spans="19:19" x14ac:dyDescent="0.3">
      <c r="S1236" s="6"/>
    </row>
    <row r="1237" spans="19:19" x14ac:dyDescent="0.3">
      <c r="S1237" s="6"/>
    </row>
    <row r="1238" spans="19:19" x14ac:dyDescent="0.3">
      <c r="S1238" s="6"/>
    </row>
    <row r="1239" spans="19:19" x14ac:dyDescent="0.3">
      <c r="S1239" s="6"/>
    </row>
    <row r="1240" spans="19:19" x14ac:dyDescent="0.3">
      <c r="S1240" s="6"/>
    </row>
    <row r="1241" spans="19:19" x14ac:dyDescent="0.3">
      <c r="S1241" s="6"/>
    </row>
    <row r="1242" spans="19:19" x14ac:dyDescent="0.3">
      <c r="S1242" s="6"/>
    </row>
    <row r="1243" spans="19:19" x14ac:dyDescent="0.3">
      <c r="S1243" s="6"/>
    </row>
    <row r="1244" spans="19:19" x14ac:dyDescent="0.3">
      <c r="S1244" s="6"/>
    </row>
    <row r="1245" spans="19:19" x14ac:dyDescent="0.3">
      <c r="S1245" s="6"/>
    </row>
    <row r="1246" spans="19:19" x14ac:dyDescent="0.3">
      <c r="S1246" s="6"/>
    </row>
    <row r="1247" spans="19:19" x14ac:dyDescent="0.3">
      <c r="S1247" s="6"/>
    </row>
    <row r="1248" spans="19:19" x14ac:dyDescent="0.3">
      <c r="S1248" s="6"/>
    </row>
    <row r="1249" spans="19:19" x14ac:dyDescent="0.3">
      <c r="S1249" s="6"/>
    </row>
    <row r="1250" spans="19:19" x14ac:dyDescent="0.3">
      <c r="S1250" s="6"/>
    </row>
    <row r="1251" spans="19:19" x14ac:dyDescent="0.3">
      <c r="S1251" s="6"/>
    </row>
    <row r="1252" spans="19:19" x14ac:dyDescent="0.3">
      <c r="S1252" s="6"/>
    </row>
    <row r="1253" spans="19:19" x14ac:dyDescent="0.3">
      <c r="S1253" s="6"/>
    </row>
    <row r="1254" spans="19:19" x14ac:dyDescent="0.3">
      <c r="S1254" s="6"/>
    </row>
    <row r="1255" spans="19:19" x14ac:dyDescent="0.3">
      <c r="S1255" s="6"/>
    </row>
    <row r="1256" spans="19:19" x14ac:dyDescent="0.3">
      <c r="S1256" s="6"/>
    </row>
    <row r="1257" spans="19:19" x14ac:dyDescent="0.3">
      <c r="S1257" s="6"/>
    </row>
    <row r="1258" spans="19:19" x14ac:dyDescent="0.3">
      <c r="S1258" s="6"/>
    </row>
    <row r="1259" spans="19:19" x14ac:dyDescent="0.3">
      <c r="S1259" s="6"/>
    </row>
    <row r="1260" spans="19:19" x14ac:dyDescent="0.3">
      <c r="S1260" s="6"/>
    </row>
    <row r="1261" spans="19:19" x14ac:dyDescent="0.3">
      <c r="S1261" s="6"/>
    </row>
    <row r="1262" spans="19:19" x14ac:dyDescent="0.3">
      <c r="S1262" s="6"/>
    </row>
    <row r="1263" spans="19:19" x14ac:dyDescent="0.3">
      <c r="S1263" s="6"/>
    </row>
    <row r="1264" spans="19:19" x14ac:dyDescent="0.3">
      <c r="S1264" s="6"/>
    </row>
    <row r="1265" spans="19:19" x14ac:dyDescent="0.3">
      <c r="S1265" s="6"/>
    </row>
    <row r="1266" spans="19:19" x14ac:dyDescent="0.3">
      <c r="S1266" s="6"/>
    </row>
    <row r="1267" spans="19:19" x14ac:dyDescent="0.3">
      <c r="S1267" s="6"/>
    </row>
    <row r="1268" spans="19:19" x14ac:dyDescent="0.3">
      <c r="S1268" s="6"/>
    </row>
    <row r="1269" spans="19:19" x14ac:dyDescent="0.3">
      <c r="S1269" s="6"/>
    </row>
    <row r="1270" spans="19:19" x14ac:dyDescent="0.3">
      <c r="S1270" s="6"/>
    </row>
    <row r="1271" spans="19:19" x14ac:dyDescent="0.3">
      <c r="S1271" s="6"/>
    </row>
    <row r="1272" spans="19:19" x14ac:dyDescent="0.3">
      <c r="S1272" s="6"/>
    </row>
    <row r="1273" spans="19:19" x14ac:dyDescent="0.3">
      <c r="S1273" s="6"/>
    </row>
    <row r="1274" spans="19:19" x14ac:dyDescent="0.3">
      <c r="S1274" s="6"/>
    </row>
    <row r="1275" spans="19:19" x14ac:dyDescent="0.3">
      <c r="S1275" s="6"/>
    </row>
    <row r="1276" spans="19:19" x14ac:dyDescent="0.3">
      <c r="S1276" s="6"/>
    </row>
    <row r="1277" spans="19:19" x14ac:dyDescent="0.3">
      <c r="S1277" s="6"/>
    </row>
    <row r="1278" spans="19:19" x14ac:dyDescent="0.3">
      <c r="S1278" s="6"/>
    </row>
    <row r="1279" spans="19:19" x14ac:dyDescent="0.3">
      <c r="S1279" s="6"/>
    </row>
    <row r="1280" spans="19:19" x14ac:dyDescent="0.3">
      <c r="S1280" s="6"/>
    </row>
    <row r="1281" spans="19:19" x14ac:dyDescent="0.3">
      <c r="S1281" s="6"/>
    </row>
    <row r="1282" spans="19:19" x14ac:dyDescent="0.3">
      <c r="S1282" s="6"/>
    </row>
    <row r="1283" spans="19:19" x14ac:dyDescent="0.3">
      <c r="S1283" s="6"/>
    </row>
    <row r="1284" spans="19:19" x14ac:dyDescent="0.3">
      <c r="S1284" s="6"/>
    </row>
    <row r="1285" spans="19:19" x14ac:dyDescent="0.3">
      <c r="S1285" s="6"/>
    </row>
    <row r="1286" spans="19:19" x14ac:dyDescent="0.3">
      <c r="S1286" s="6"/>
    </row>
    <row r="1287" spans="19:19" x14ac:dyDescent="0.3">
      <c r="S1287" s="6"/>
    </row>
    <row r="1288" spans="19:19" x14ac:dyDescent="0.3">
      <c r="S1288" s="6"/>
    </row>
    <row r="1289" spans="19:19" x14ac:dyDescent="0.3">
      <c r="S1289" s="6"/>
    </row>
    <row r="1290" spans="19:19" x14ac:dyDescent="0.3">
      <c r="S1290" s="6"/>
    </row>
    <row r="1291" spans="19:19" x14ac:dyDescent="0.3">
      <c r="S1291" s="6"/>
    </row>
    <row r="1292" spans="19:19" x14ac:dyDescent="0.3">
      <c r="S1292" s="6"/>
    </row>
    <row r="1293" spans="19:19" x14ac:dyDescent="0.3">
      <c r="S1293" s="6"/>
    </row>
    <row r="1294" spans="19:19" x14ac:dyDescent="0.3">
      <c r="S1294" s="6"/>
    </row>
    <row r="1295" spans="19:19" x14ac:dyDescent="0.3">
      <c r="S1295" s="6"/>
    </row>
    <row r="1296" spans="19:19" x14ac:dyDescent="0.3">
      <c r="S1296" s="6"/>
    </row>
    <row r="1297" spans="19:19" x14ac:dyDescent="0.3">
      <c r="S1297" s="6"/>
    </row>
    <row r="1298" spans="19:19" x14ac:dyDescent="0.3">
      <c r="S1298" s="6"/>
    </row>
    <row r="1299" spans="19:19" x14ac:dyDescent="0.3">
      <c r="S1299" s="6"/>
    </row>
    <row r="1300" spans="19:19" x14ac:dyDescent="0.3">
      <c r="S1300" s="6"/>
    </row>
    <row r="1301" spans="19:19" x14ac:dyDescent="0.3">
      <c r="S1301" s="6"/>
    </row>
    <row r="1302" spans="19:19" x14ac:dyDescent="0.3">
      <c r="S1302" s="6"/>
    </row>
    <row r="1303" spans="19:19" x14ac:dyDescent="0.3">
      <c r="S1303" s="6"/>
    </row>
    <row r="1304" spans="19:19" x14ac:dyDescent="0.3">
      <c r="S1304" s="6"/>
    </row>
    <row r="1305" spans="19:19" x14ac:dyDescent="0.3">
      <c r="S1305" s="6"/>
    </row>
    <row r="1306" spans="19:19" x14ac:dyDescent="0.3">
      <c r="S1306" s="6"/>
    </row>
    <row r="1307" spans="19:19" x14ac:dyDescent="0.3">
      <c r="S1307" s="6"/>
    </row>
    <row r="1308" spans="19:19" x14ac:dyDescent="0.3">
      <c r="S1308" s="6"/>
    </row>
    <row r="1309" spans="19:19" x14ac:dyDescent="0.3">
      <c r="S1309" s="6"/>
    </row>
    <row r="1310" spans="19:19" x14ac:dyDescent="0.3">
      <c r="S1310" s="6"/>
    </row>
    <row r="1311" spans="19:19" x14ac:dyDescent="0.3">
      <c r="S1311" s="6"/>
    </row>
    <row r="1312" spans="19:19" x14ac:dyDescent="0.3">
      <c r="S1312" s="6"/>
    </row>
    <row r="1313" spans="19:19" x14ac:dyDescent="0.3">
      <c r="S1313" s="6"/>
    </row>
    <row r="1314" spans="19:19" x14ac:dyDescent="0.3">
      <c r="S1314" s="6"/>
    </row>
    <row r="1315" spans="19:19" x14ac:dyDescent="0.3">
      <c r="S1315" s="6"/>
    </row>
    <row r="1316" spans="19:19" x14ac:dyDescent="0.3">
      <c r="S1316" s="6"/>
    </row>
    <row r="1317" spans="19:19" x14ac:dyDescent="0.3">
      <c r="S1317" s="6"/>
    </row>
    <row r="1318" spans="19:19" x14ac:dyDescent="0.3">
      <c r="S1318" s="6"/>
    </row>
    <row r="1319" spans="19:19" x14ac:dyDescent="0.3">
      <c r="S1319" s="6"/>
    </row>
    <row r="1320" spans="19:19" x14ac:dyDescent="0.3">
      <c r="S1320" s="6"/>
    </row>
    <row r="1321" spans="19:19" x14ac:dyDescent="0.3">
      <c r="S1321" s="6"/>
    </row>
    <row r="1322" spans="19:19" x14ac:dyDescent="0.3">
      <c r="S1322" s="6"/>
    </row>
    <row r="1323" spans="19:19" x14ac:dyDescent="0.3">
      <c r="S1323" s="6"/>
    </row>
    <row r="1324" spans="19:19" x14ac:dyDescent="0.3">
      <c r="S1324" s="6"/>
    </row>
    <row r="1325" spans="19:19" x14ac:dyDescent="0.3">
      <c r="S1325" s="6"/>
    </row>
    <row r="1326" spans="19:19" x14ac:dyDescent="0.3">
      <c r="S1326" s="6"/>
    </row>
    <row r="1327" spans="19:19" x14ac:dyDescent="0.3">
      <c r="S1327" s="6"/>
    </row>
    <row r="1328" spans="19:19" x14ac:dyDescent="0.3">
      <c r="S1328" s="6"/>
    </row>
    <row r="1329" spans="19:19" x14ac:dyDescent="0.3">
      <c r="S1329" s="6"/>
    </row>
    <row r="1330" spans="19:19" x14ac:dyDescent="0.3">
      <c r="S1330" s="6"/>
    </row>
    <row r="1331" spans="19:19" x14ac:dyDescent="0.3">
      <c r="S1331" s="6"/>
    </row>
    <row r="1332" spans="19:19" x14ac:dyDescent="0.3">
      <c r="S1332" s="6"/>
    </row>
    <row r="1333" spans="19:19" x14ac:dyDescent="0.3">
      <c r="S1333" s="6"/>
    </row>
    <row r="1334" spans="19:19" x14ac:dyDescent="0.3">
      <c r="S1334" s="6"/>
    </row>
    <row r="1335" spans="19:19" x14ac:dyDescent="0.3">
      <c r="S1335" s="6"/>
    </row>
    <row r="1336" spans="19:19" x14ac:dyDescent="0.3">
      <c r="S1336" s="6"/>
    </row>
    <row r="1337" spans="19:19" x14ac:dyDescent="0.3">
      <c r="S1337" s="6"/>
    </row>
    <row r="1338" spans="19:19" x14ac:dyDescent="0.3">
      <c r="S1338" s="6"/>
    </row>
    <row r="1339" spans="19:19" x14ac:dyDescent="0.3">
      <c r="S1339" s="6"/>
    </row>
    <row r="1340" spans="19:19" x14ac:dyDescent="0.3">
      <c r="S1340" s="6"/>
    </row>
    <row r="1341" spans="19:19" x14ac:dyDescent="0.3">
      <c r="S1341" s="6"/>
    </row>
    <row r="1342" spans="19:19" x14ac:dyDescent="0.3">
      <c r="S1342" s="6"/>
    </row>
    <row r="1343" spans="19:19" x14ac:dyDescent="0.3">
      <c r="S1343" s="6"/>
    </row>
    <row r="1344" spans="19:19" x14ac:dyDescent="0.3">
      <c r="S1344" s="6"/>
    </row>
    <row r="1345" spans="19:19" x14ac:dyDescent="0.3">
      <c r="S1345" s="6"/>
    </row>
    <row r="1346" spans="19:19" x14ac:dyDescent="0.3">
      <c r="S1346" s="6"/>
    </row>
    <row r="1347" spans="19:19" x14ac:dyDescent="0.3">
      <c r="S1347" s="6"/>
    </row>
    <row r="1348" spans="19:19" x14ac:dyDescent="0.3">
      <c r="S1348" s="6"/>
    </row>
    <row r="1349" spans="19:19" x14ac:dyDescent="0.3">
      <c r="S1349" s="6"/>
    </row>
    <row r="1350" spans="19:19" x14ac:dyDescent="0.3">
      <c r="S1350" s="6"/>
    </row>
    <row r="1351" spans="19:19" x14ac:dyDescent="0.3">
      <c r="S1351" s="6"/>
    </row>
    <row r="1352" spans="19:19" x14ac:dyDescent="0.3">
      <c r="S1352" s="6"/>
    </row>
    <row r="1353" spans="19:19" x14ac:dyDescent="0.3">
      <c r="S1353" s="6"/>
    </row>
    <row r="1354" spans="19:19" x14ac:dyDescent="0.3">
      <c r="S1354" s="6"/>
    </row>
    <row r="1355" spans="19:19" x14ac:dyDescent="0.3">
      <c r="S1355" s="6"/>
    </row>
    <row r="1356" spans="19:19" x14ac:dyDescent="0.3">
      <c r="S1356" s="6"/>
    </row>
    <row r="1357" spans="19:19" x14ac:dyDescent="0.3">
      <c r="S1357" s="6"/>
    </row>
    <row r="1358" spans="19:19" x14ac:dyDescent="0.3">
      <c r="S1358" s="6"/>
    </row>
    <row r="1359" spans="19:19" x14ac:dyDescent="0.3">
      <c r="S1359" s="6"/>
    </row>
    <row r="1360" spans="19:19" x14ac:dyDescent="0.3">
      <c r="S1360" s="6"/>
    </row>
    <row r="1361" spans="19:19" x14ac:dyDescent="0.3">
      <c r="S1361" s="6"/>
    </row>
    <row r="1362" spans="19:19" x14ac:dyDescent="0.3">
      <c r="S1362" s="6"/>
    </row>
    <row r="1363" spans="19:19" x14ac:dyDescent="0.3">
      <c r="S1363" s="6"/>
    </row>
    <row r="1364" spans="19:19" x14ac:dyDescent="0.3">
      <c r="S1364" s="6"/>
    </row>
    <row r="1365" spans="19:19" x14ac:dyDescent="0.3">
      <c r="S1365" s="6"/>
    </row>
    <row r="1366" spans="19:19" x14ac:dyDescent="0.3">
      <c r="S1366" s="6"/>
    </row>
    <row r="1367" spans="19:19" x14ac:dyDescent="0.3">
      <c r="S1367" s="6"/>
    </row>
    <row r="1368" spans="19:19" x14ac:dyDescent="0.3">
      <c r="S1368" s="6"/>
    </row>
    <row r="1369" spans="19:19" x14ac:dyDescent="0.3">
      <c r="S1369" s="6"/>
    </row>
    <row r="1370" spans="19:19" x14ac:dyDescent="0.3">
      <c r="S1370" s="6"/>
    </row>
    <row r="1371" spans="19:19" x14ac:dyDescent="0.3">
      <c r="S1371" s="6"/>
    </row>
    <row r="1372" spans="19:19" x14ac:dyDescent="0.3">
      <c r="S1372" s="6"/>
    </row>
    <row r="1373" spans="19:19" x14ac:dyDescent="0.3">
      <c r="S1373" s="6"/>
    </row>
    <row r="1374" spans="19:19" x14ac:dyDescent="0.3">
      <c r="S1374" s="6"/>
    </row>
    <row r="1375" spans="19:19" x14ac:dyDescent="0.3">
      <c r="S1375" s="6"/>
    </row>
    <row r="1376" spans="19:19" x14ac:dyDescent="0.3">
      <c r="S1376" s="6"/>
    </row>
    <row r="1377" spans="19:19" x14ac:dyDescent="0.3">
      <c r="S1377" s="6"/>
    </row>
    <row r="1378" spans="19:19" x14ac:dyDescent="0.3">
      <c r="S1378" s="6"/>
    </row>
    <row r="1379" spans="19:19" x14ac:dyDescent="0.3">
      <c r="S1379" s="6"/>
    </row>
    <row r="1380" spans="19:19" x14ac:dyDescent="0.3">
      <c r="S1380" s="6"/>
    </row>
    <row r="1381" spans="19:19" x14ac:dyDescent="0.3">
      <c r="S1381" s="6"/>
    </row>
    <row r="1382" spans="19:19" x14ac:dyDescent="0.3">
      <c r="S1382" s="6"/>
    </row>
    <row r="1383" spans="19:19" x14ac:dyDescent="0.3">
      <c r="S1383" s="6"/>
    </row>
    <row r="1384" spans="19:19" x14ac:dyDescent="0.3">
      <c r="S1384" s="6"/>
    </row>
    <row r="1385" spans="19:19" x14ac:dyDescent="0.3">
      <c r="S1385" s="6"/>
    </row>
    <row r="1386" spans="19:19" x14ac:dyDescent="0.3">
      <c r="S1386" s="6"/>
    </row>
    <row r="1387" spans="19:19" x14ac:dyDescent="0.3">
      <c r="S1387" s="6"/>
    </row>
    <row r="1388" spans="19:19" x14ac:dyDescent="0.3">
      <c r="S1388" s="6"/>
    </row>
    <row r="1389" spans="19:19" x14ac:dyDescent="0.3">
      <c r="S1389" s="6"/>
    </row>
    <row r="1390" spans="19:19" x14ac:dyDescent="0.3">
      <c r="S1390" s="6"/>
    </row>
    <row r="1391" spans="19:19" x14ac:dyDescent="0.3">
      <c r="S1391" s="6"/>
    </row>
    <row r="1392" spans="19:19" x14ac:dyDescent="0.3">
      <c r="S1392" s="6"/>
    </row>
    <row r="1393" spans="19:19" x14ac:dyDescent="0.3">
      <c r="S1393" s="6"/>
    </row>
    <row r="1394" spans="19:19" x14ac:dyDescent="0.3">
      <c r="S1394" s="6"/>
    </row>
    <row r="1395" spans="19:19" x14ac:dyDescent="0.3">
      <c r="S1395" s="6"/>
    </row>
    <row r="1396" spans="19:19" x14ac:dyDescent="0.3">
      <c r="S1396" s="6"/>
    </row>
    <row r="1397" spans="19:19" x14ac:dyDescent="0.3">
      <c r="S1397" s="6"/>
    </row>
    <row r="1398" spans="19:19" x14ac:dyDescent="0.3">
      <c r="S1398" s="6"/>
    </row>
    <row r="1399" spans="19:19" x14ac:dyDescent="0.3">
      <c r="S1399" s="6"/>
    </row>
    <row r="1400" spans="19:19" x14ac:dyDescent="0.3">
      <c r="S1400" s="6"/>
    </row>
    <row r="1401" spans="19:19" x14ac:dyDescent="0.3">
      <c r="S1401" s="6"/>
    </row>
    <row r="1402" spans="19:19" x14ac:dyDescent="0.3">
      <c r="S1402" s="6"/>
    </row>
    <row r="1403" spans="19:19" x14ac:dyDescent="0.3">
      <c r="S1403" s="6"/>
    </row>
    <row r="1404" spans="19:19" x14ac:dyDescent="0.3">
      <c r="S1404" s="6"/>
    </row>
    <row r="1405" spans="19:19" x14ac:dyDescent="0.3">
      <c r="S1405" s="6"/>
    </row>
    <row r="1406" spans="19:19" x14ac:dyDescent="0.3">
      <c r="S1406" s="6"/>
    </row>
    <row r="1407" spans="19:19" x14ac:dyDescent="0.3">
      <c r="S1407" s="6"/>
    </row>
    <row r="1408" spans="19:19" x14ac:dyDescent="0.3">
      <c r="S1408" s="6"/>
    </row>
    <row r="1409" spans="19:19" x14ac:dyDescent="0.3">
      <c r="S1409" s="6"/>
    </row>
    <row r="1410" spans="19:19" x14ac:dyDescent="0.3">
      <c r="S1410" s="6"/>
    </row>
    <row r="1411" spans="19:19" x14ac:dyDescent="0.3">
      <c r="S1411" s="6"/>
    </row>
    <row r="1412" spans="19:19" x14ac:dyDescent="0.3">
      <c r="S1412" s="6"/>
    </row>
    <row r="1413" spans="19:19" x14ac:dyDescent="0.3">
      <c r="S1413" s="6"/>
    </row>
    <row r="1414" spans="19:19" x14ac:dyDescent="0.3">
      <c r="S1414" s="6"/>
    </row>
    <row r="1415" spans="19:19" x14ac:dyDescent="0.3">
      <c r="S1415" s="6"/>
    </row>
    <row r="1416" spans="19:19" x14ac:dyDescent="0.3">
      <c r="S1416" s="6"/>
    </row>
    <row r="1417" spans="19:19" x14ac:dyDescent="0.3">
      <c r="S1417" s="6"/>
    </row>
    <row r="1418" spans="19:19" x14ac:dyDescent="0.3">
      <c r="S1418" s="6"/>
    </row>
    <row r="1419" spans="19:19" x14ac:dyDescent="0.3">
      <c r="S1419" s="6"/>
    </row>
    <row r="1420" spans="19:19" x14ac:dyDescent="0.3">
      <c r="S1420" s="6"/>
    </row>
    <row r="1421" spans="19:19" x14ac:dyDescent="0.3">
      <c r="S1421" s="6"/>
    </row>
    <row r="1422" spans="19:19" x14ac:dyDescent="0.3">
      <c r="S1422" s="6"/>
    </row>
    <row r="1423" spans="19:19" x14ac:dyDescent="0.3">
      <c r="S1423" s="6"/>
    </row>
    <row r="1424" spans="19:19" x14ac:dyDescent="0.3">
      <c r="S1424" s="6"/>
    </row>
    <row r="1425" spans="19:19" x14ac:dyDescent="0.3">
      <c r="S1425" s="6"/>
    </row>
    <row r="1426" spans="19:19" x14ac:dyDescent="0.3">
      <c r="S1426" s="6"/>
    </row>
    <row r="1427" spans="19:19" x14ac:dyDescent="0.3">
      <c r="S1427" s="6"/>
    </row>
    <row r="1428" spans="19:19" x14ac:dyDescent="0.3">
      <c r="S1428" s="6"/>
    </row>
    <row r="1429" spans="19:19" x14ac:dyDescent="0.3">
      <c r="S1429" s="6"/>
    </row>
    <row r="1430" spans="19:19" x14ac:dyDescent="0.3">
      <c r="S1430" s="6"/>
    </row>
    <row r="1431" spans="19:19" x14ac:dyDescent="0.3">
      <c r="S1431" s="6"/>
    </row>
    <row r="1432" spans="19:19" x14ac:dyDescent="0.3">
      <c r="S1432" s="6"/>
    </row>
    <row r="1433" spans="19:19" x14ac:dyDescent="0.3">
      <c r="S1433" s="6"/>
    </row>
    <row r="1434" spans="19:19" x14ac:dyDescent="0.3">
      <c r="S1434" s="6"/>
    </row>
    <row r="1435" spans="19:19" x14ac:dyDescent="0.3">
      <c r="S1435" s="6"/>
    </row>
    <row r="1436" spans="19:19" x14ac:dyDescent="0.3">
      <c r="S1436" s="6"/>
    </row>
    <row r="1437" spans="19:19" x14ac:dyDescent="0.3">
      <c r="S1437" s="6"/>
    </row>
    <row r="1438" spans="19:19" x14ac:dyDescent="0.3">
      <c r="S1438" s="6"/>
    </row>
    <row r="1439" spans="19:19" x14ac:dyDescent="0.3">
      <c r="S1439" s="6"/>
    </row>
    <row r="1440" spans="19:19" x14ac:dyDescent="0.3">
      <c r="S1440" s="6"/>
    </row>
    <row r="1441" spans="19:19" x14ac:dyDescent="0.3">
      <c r="S1441" s="6"/>
    </row>
    <row r="1442" spans="19:19" x14ac:dyDescent="0.3">
      <c r="S1442" s="6"/>
    </row>
    <row r="1443" spans="19:19" x14ac:dyDescent="0.3">
      <c r="S1443" s="6"/>
    </row>
    <row r="1444" spans="19:19" x14ac:dyDescent="0.3">
      <c r="S1444" s="6"/>
    </row>
    <row r="1445" spans="19:19" x14ac:dyDescent="0.3">
      <c r="S1445" s="6"/>
    </row>
    <row r="1446" spans="19:19" x14ac:dyDescent="0.3">
      <c r="S1446" s="6"/>
    </row>
    <row r="1447" spans="19:19" x14ac:dyDescent="0.3">
      <c r="S1447" s="6"/>
    </row>
    <row r="1448" spans="19:19" x14ac:dyDescent="0.3">
      <c r="S1448" s="6"/>
    </row>
    <row r="1449" spans="19:19" x14ac:dyDescent="0.3">
      <c r="S1449" s="6"/>
    </row>
    <row r="1450" spans="19:19" x14ac:dyDescent="0.3">
      <c r="S1450" s="6"/>
    </row>
    <row r="1451" spans="19:19" x14ac:dyDescent="0.3">
      <c r="S1451" s="6"/>
    </row>
    <row r="1452" spans="19:19" x14ac:dyDescent="0.3">
      <c r="S1452" s="6"/>
    </row>
    <row r="1453" spans="19:19" x14ac:dyDescent="0.3">
      <c r="S1453" s="6"/>
    </row>
    <row r="1454" spans="19:19" x14ac:dyDescent="0.3">
      <c r="S1454" s="6"/>
    </row>
    <row r="1455" spans="19:19" x14ac:dyDescent="0.3">
      <c r="S1455" s="6"/>
    </row>
    <row r="1456" spans="19:19" x14ac:dyDescent="0.3">
      <c r="S1456" s="6"/>
    </row>
    <row r="1457" spans="19:19" x14ac:dyDescent="0.3">
      <c r="S1457" s="6"/>
    </row>
    <row r="1458" spans="19:19" x14ac:dyDescent="0.3">
      <c r="S1458" s="6"/>
    </row>
    <row r="1459" spans="19:19" x14ac:dyDescent="0.3">
      <c r="S1459" s="6"/>
    </row>
    <row r="1460" spans="19:19" x14ac:dyDescent="0.3">
      <c r="S1460" s="6"/>
    </row>
    <row r="1461" spans="19:19" x14ac:dyDescent="0.3">
      <c r="S1461" s="6"/>
    </row>
    <row r="1462" spans="19:19" x14ac:dyDescent="0.3">
      <c r="S1462" s="6"/>
    </row>
    <row r="1463" spans="19:19" x14ac:dyDescent="0.3">
      <c r="S1463" s="6"/>
    </row>
    <row r="1464" spans="19:19" x14ac:dyDescent="0.3">
      <c r="S1464" s="6"/>
    </row>
    <row r="1465" spans="19:19" x14ac:dyDescent="0.3">
      <c r="S1465" s="6"/>
    </row>
    <row r="1466" spans="19:19" x14ac:dyDescent="0.3">
      <c r="S1466" s="6"/>
    </row>
    <row r="1467" spans="19:19" x14ac:dyDescent="0.3">
      <c r="S1467" s="6"/>
    </row>
    <row r="1468" spans="19:19" x14ac:dyDescent="0.3">
      <c r="S1468" s="6"/>
    </row>
    <row r="1469" spans="19:19" x14ac:dyDescent="0.3">
      <c r="S1469" s="6"/>
    </row>
    <row r="1470" spans="19:19" x14ac:dyDescent="0.3">
      <c r="S1470" s="6"/>
    </row>
    <row r="1471" spans="19:19" x14ac:dyDescent="0.3">
      <c r="S1471" s="6"/>
    </row>
    <row r="1472" spans="19:19" x14ac:dyDescent="0.3">
      <c r="S1472" s="6"/>
    </row>
    <row r="1473" spans="19:19" x14ac:dyDescent="0.3">
      <c r="S1473" s="6"/>
    </row>
    <row r="1474" spans="19:19" x14ac:dyDescent="0.3">
      <c r="S1474" s="6"/>
    </row>
    <row r="1475" spans="19:19" x14ac:dyDescent="0.3">
      <c r="S1475" s="6"/>
    </row>
    <row r="1476" spans="19:19" x14ac:dyDescent="0.3">
      <c r="S1476" s="6"/>
    </row>
    <row r="1477" spans="19:19" x14ac:dyDescent="0.3">
      <c r="S1477" s="6"/>
    </row>
    <row r="1478" spans="19:19" x14ac:dyDescent="0.3">
      <c r="S1478" s="6"/>
    </row>
    <row r="1479" spans="19:19" x14ac:dyDescent="0.3">
      <c r="S1479" s="6"/>
    </row>
    <row r="1480" spans="19:19" x14ac:dyDescent="0.3">
      <c r="S1480" s="6"/>
    </row>
    <row r="1481" spans="19:19" x14ac:dyDescent="0.3">
      <c r="S1481" s="6"/>
    </row>
    <row r="1482" spans="19:19" x14ac:dyDescent="0.3">
      <c r="S1482" s="6"/>
    </row>
    <row r="1483" spans="19:19" x14ac:dyDescent="0.3">
      <c r="S1483" s="6"/>
    </row>
    <row r="1484" spans="19:19" x14ac:dyDescent="0.3">
      <c r="S1484" s="6"/>
    </row>
    <row r="1485" spans="19:19" x14ac:dyDescent="0.3">
      <c r="S1485" s="6"/>
    </row>
    <row r="1486" spans="19:19" x14ac:dyDescent="0.3">
      <c r="S1486" s="6"/>
    </row>
    <row r="1487" spans="19:19" x14ac:dyDescent="0.3">
      <c r="S1487" s="6"/>
    </row>
    <row r="1488" spans="19:19" x14ac:dyDescent="0.3">
      <c r="S1488" s="6"/>
    </row>
    <row r="1489" spans="19:19" x14ac:dyDescent="0.3">
      <c r="S1489" s="6"/>
    </row>
    <row r="1490" spans="19:19" x14ac:dyDescent="0.3">
      <c r="S1490" s="6"/>
    </row>
    <row r="1491" spans="19:19" x14ac:dyDescent="0.3">
      <c r="S1491" s="6"/>
    </row>
    <row r="1492" spans="19:19" x14ac:dyDescent="0.3">
      <c r="S1492" s="6"/>
    </row>
    <row r="1493" spans="19:19" x14ac:dyDescent="0.3">
      <c r="S1493" s="6"/>
    </row>
    <row r="1494" spans="19:19" x14ac:dyDescent="0.3">
      <c r="S1494" s="6"/>
    </row>
    <row r="1495" spans="19:19" x14ac:dyDescent="0.3">
      <c r="S1495" s="6"/>
    </row>
    <row r="1496" spans="19:19" x14ac:dyDescent="0.3">
      <c r="S1496" s="6"/>
    </row>
    <row r="1497" spans="19:19" x14ac:dyDescent="0.3">
      <c r="S1497" s="6"/>
    </row>
    <row r="1498" spans="19:19" x14ac:dyDescent="0.3">
      <c r="S1498" s="6"/>
    </row>
    <row r="1499" spans="19:19" x14ac:dyDescent="0.3">
      <c r="S1499" s="6"/>
    </row>
    <row r="1500" spans="19:19" x14ac:dyDescent="0.3">
      <c r="S1500" s="6"/>
    </row>
    <row r="1501" spans="19:19" x14ac:dyDescent="0.3">
      <c r="S1501" s="6"/>
    </row>
    <row r="1502" spans="19:19" x14ac:dyDescent="0.3">
      <c r="S1502" s="6"/>
    </row>
    <row r="1503" spans="19:19" x14ac:dyDescent="0.3">
      <c r="S1503" s="6"/>
    </row>
    <row r="1504" spans="19:19" x14ac:dyDescent="0.3">
      <c r="S1504" s="6"/>
    </row>
    <row r="1505" spans="19:19" x14ac:dyDescent="0.3">
      <c r="S1505" s="6"/>
    </row>
    <row r="1506" spans="19:19" x14ac:dyDescent="0.3">
      <c r="S1506" s="6"/>
    </row>
    <row r="1507" spans="19:19" x14ac:dyDescent="0.3">
      <c r="S1507" s="6"/>
    </row>
    <row r="1508" spans="19:19" x14ac:dyDescent="0.3">
      <c r="S1508" s="6"/>
    </row>
    <row r="1509" spans="19:19" x14ac:dyDescent="0.3">
      <c r="S1509" s="6"/>
    </row>
    <row r="1510" spans="19:19" x14ac:dyDescent="0.3">
      <c r="S1510" s="6"/>
    </row>
    <row r="1511" spans="19:19" x14ac:dyDescent="0.3">
      <c r="S1511" s="6"/>
    </row>
    <row r="1512" spans="19:19" x14ac:dyDescent="0.3">
      <c r="S1512" s="6"/>
    </row>
    <row r="1513" spans="19:19" x14ac:dyDescent="0.3">
      <c r="S1513" s="6"/>
    </row>
    <row r="1514" spans="19:19" x14ac:dyDescent="0.3">
      <c r="S1514" s="6"/>
    </row>
    <row r="1515" spans="19:19" x14ac:dyDescent="0.3">
      <c r="S1515" s="6"/>
    </row>
    <row r="1516" spans="19:19" x14ac:dyDescent="0.3">
      <c r="S1516" s="6"/>
    </row>
    <row r="1517" spans="19:19" x14ac:dyDescent="0.3">
      <c r="S1517" s="6"/>
    </row>
    <row r="1518" spans="19:19" x14ac:dyDescent="0.3">
      <c r="S1518" s="6"/>
    </row>
    <row r="1519" spans="19:19" x14ac:dyDescent="0.3">
      <c r="S1519" s="6"/>
    </row>
    <row r="1520" spans="19:19" x14ac:dyDescent="0.3">
      <c r="S1520" s="6"/>
    </row>
    <row r="1521" spans="19:19" x14ac:dyDescent="0.3">
      <c r="S1521" s="6"/>
    </row>
    <row r="1522" spans="19:19" x14ac:dyDescent="0.3">
      <c r="S1522" s="6"/>
    </row>
    <row r="1523" spans="19:19" x14ac:dyDescent="0.3">
      <c r="S1523" s="6"/>
    </row>
    <row r="1524" spans="19:19" x14ac:dyDescent="0.3">
      <c r="S1524" s="6"/>
    </row>
    <row r="1525" spans="19:19" x14ac:dyDescent="0.3">
      <c r="S1525" s="6"/>
    </row>
    <row r="1526" spans="19:19" x14ac:dyDescent="0.3">
      <c r="S1526" s="6"/>
    </row>
    <row r="1527" spans="19:19" x14ac:dyDescent="0.3">
      <c r="S1527" s="6"/>
    </row>
    <row r="1528" spans="19:19" x14ac:dyDescent="0.3">
      <c r="S1528" s="6"/>
    </row>
    <row r="1529" spans="19:19" x14ac:dyDescent="0.3">
      <c r="S1529" s="6"/>
    </row>
    <row r="1530" spans="19:19" x14ac:dyDescent="0.3">
      <c r="S1530" s="6"/>
    </row>
    <row r="1531" spans="19:19" x14ac:dyDescent="0.3">
      <c r="S1531" s="6"/>
    </row>
    <row r="1532" spans="19:19" x14ac:dyDescent="0.3">
      <c r="S1532" s="6"/>
    </row>
    <row r="1533" spans="19:19" x14ac:dyDescent="0.3">
      <c r="S1533" s="6"/>
    </row>
    <row r="1534" spans="19:19" x14ac:dyDescent="0.3">
      <c r="S1534" s="6"/>
    </row>
    <row r="1535" spans="19:19" x14ac:dyDescent="0.3">
      <c r="S1535" s="6"/>
    </row>
    <row r="1536" spans="19:19" x14ac:dyDescent="0.3">
      <c r="S1536" s="6"/>
    </row>
    <row r="1537" spans="19:19" x14ac:dyDescent="0.3">
      <c r="S1537" s="6"/>
    </row>
    <row r="1538" spans="19:19" x14ac:dyDescent="0.3">
      <c r="S1538" s="6"/>
    </row>
    <row r="1539" spans="19:19" x14ac:dyDescent="0.3">
      <c r="S1539" s="6"/>
    </row>
    <row r="1540" spans="19:19" x14ac:dyDescent="0.3">
      <c r="S1540" s="6"/>
    </row>
    <row r="1541" spans="19:19" x14ac:dyDescent="0.3">
      <c r="S1541" s="6"/>
    </row>
    <row r="1542" spans="19:19" x14ac:dyDescent="0.3">
      <c r="S1542" s="6"/>
    </row>
    <row r="1543" spans="19:19" x14ac:dyDescent="0.3">
      <c r="S1543" s="6"/>
    </row>
    <row r="1544" spans="19:19" x14ac:dyDescent="0.3">
      <c r="S1544" s="6"/>
    </row>
    <row r="1545" spans="19:19" x14ac:dyDescent="0.3">
      <c r="S1545" s="6"/>
    </row>
    <row r="1546" spans="19:19" x14ac:dyDescent="0.3">
      <c r="S1546" s="6"/>
    </row>
    <row r="1547" spans="19:19" x14ac:dyDescent="0.3">
      <c r="S1547" s="6"/>
    </row>
    <row r="1548" spans="19:19" x14ac:dyDescent="0.3">
      <c r="S1548" s="6"/>
    </row>
    <row r="1549" spans="19:19" x14ac:dyDescent="0.3">
      <c r="S1549" s="6"/>
    </row>
    <row r="1550" spans="19:19" x14ac:dyDescent="0.3">
      <c r="S1550" s="6"/>
    </row>
    <row r="1551" spans="19:19" x14ac:dyDescent="0.3">
      <c r="S1551" s="6"/>
    </row>
    <row r="1552" spans="19:19" x14ac:dyDescent="0.3">
      <c r="S1552" s="6"/>
    </row>
    <row r="1553" spans="19:19" x14ac:dyDescent="0.3">
      <c r="S1553" s="6"/>
    </row>
    <row r="1554" spans="19:19" x14ac:dyDescent="0.3">
      <c r="S1554" s="6"/>
    </row>
    <row r="1555" spans="19:19" x14ac:dyDescent="0.3">
      <c r="S1555" s="6"/>
    </row>
    <row r="1556" spans="19:19" x14ac:dyDescent="0.3">
      <c r="S1556" s="6"/>
    </row>
    <row r="1557" spans="19:19" x14ac:dyDescent="0.3">
      <c r="S1557" s="6"/>
    </row>
    <row r="1558" spans="19:19" x14ac:dyDescent="0.3">
      <c r="S1558" s="6"/>
    </row>
    <row r="1559" spans="19:19" x14ac:dyDescent="0.3">
      <c r="S1559" s="6"/>
    </row>
    <row r="1560" spans="19:19" x14ac:dyDescent="0.3">
      <c r="S1560" s="6"/>
    </row>
    <row r="1561" spans="19:19" x14ac:dyDescent="0.3">
      <c r="S1561" s="6"/>
    </row>
    <row r="1562" spans="19:19" x14ac:dyDescent="0.3">
      <c r="S1562" s="6"/>
    </row>
    <row r="1563" spans="19:19" x14ac:dyDescent="0.3">
      <c r="S1563" s="6"/>
    </row>
    <row r="1564" spans="19:19" x14ac:dyDescent="0.3">
      <c r="S1564" s="6"/>
    </row>
    <row r="1565" spans="19:19" x14ac:dyDescent="0.3">
      <c r="S1565" s="6"/>
    </row>
    <row r="1566" spans="19:19" x14ac:dyDescent="0.3">
      <c r="S1566" s="6"/>
    </row>
    <row r="1567" spans="19:19" x14ac:dyDescent="0.3">
      <c r="S1567" s="6"/>
    </row>
    <row r="1568" spans="19:19" x14ac:dyDescent="0.3">
      <c r="S1568" s="6"/>
    </row>
    <row r="1569" spans="19:19" x14ac:dyDescent="0.3">
      <c r="S1569" s="6"/>
    </row>
    <row r="1570" spans="19:19" x14ac:dyDescent="0.3">
      <c r="S1570" s="6"/>
    </row>
    <row r="1571" spans="19:19" x14ac:dyDescent="0.3">
      <c r="S1571" s="6"/>
    </row>
    <row r="1572" spans="19:19" x14ac:dyDescent="0.3">
      <c r="S1572" s="6"/>
    </row>
    <row r="1573" spans="19:19" x14ac:dyDescent="0.3">
      <c r="S1573" s="6"/>
    </row>
    <row r="1574" spans="19:19" x14ac:dyDescent="0.3">
      <c r="S1574" s="6"/>
    </row>
    <row r="1575" spans="19:19" x14ac:dyDescent="0.3">
      <c r="S1575" s="6"/>
    </row>
    <row r="1576" spans="19:19" x14ac:dyDescent="0.3">
      <c r="S1576" s="6"/>
    </row>
    <row r="1577" spans="19:19" x14ac:dyDescent="0.3">
      <c r="S1577" s="6"/>
    </row>
    <row r="1578" spans="19:19" x14ac:dyDescent="0.3">
      <c r="S1578" s="6"/>
    </row>
    <row r="1579" spans="19:19" x14ac:dyDescent="0.3">
      <c r="S1579" s="6"/>
    </row>
    <row r="1580" spans="19:19" x14ac:dyDescent="0.3">
      <c r="S1580" s="6"/>
    </row>
    <row r="1581" spans="19:19" x14ac:dyDescent="0.3">
      <c r="S1581" s="6"/>
    </row>
    <row r="1582" spans="19:19" x14ac:dyDescent="0.3">
      <c r="S1582" s="6"/>
    </row>
    <row r="1583" spans="19:19" x14ac:dyDescent="0.3">
      <c r="S1583" s="6"/>
    </row>
    <row r="1584" spans="19:19" x14ac:dyDescent="0.3">
      <c r="S1584" s="6"/>
    </row>
    <row r="1585" spans="19:19" x14ac:dyDescent="0.3">
      <c r="S1585" s="6"/>
    </row>
    <row r="1586" spans="19:19" x14ac:dyDescent="0.3">
      <c r="S1586" s="6"/>
    </row>
    <row r="1587" spans="19:19" x14ac:dyDescent="0.3">
      <c r="S1587" s="6"/>
    </row>
    <row r="1588" spans="19:19" x14ac:dyDescent="0.3">
      <c r="S1588" s="6"/>
    </row>
    <row r="1589" spans="19:19" x14ac:dyDescent="0.3">
      <c r="S1589" s="6"/>
    </row>
    <row r="1590" spans="19:19" x14ac:dyDescent="0.3">
      <c r="S1590" s="6"/>
    </row>
    <row r="1591" spans="19:19" x14ac:dyDescent="0.3">
      <c r="S1591" s="6"/>
    </row>
    <row r="1592" spans="19:19" x14ac:dyDescent="0.3">
      <c r="S1592" s="6"/>
    </row>
    <row r="1593" spans="19:19" x14ac:dyDescent="0.3">
      <c r="S1593" s="6"/>
    </row>
    <row r="1594" spans="19:19" x14ac:dyDescent="0.3">
      <c r="S1594" s="6"/>
    </row>
    <row r="1595" spans="19:19" x14ac:dyDescent="0.3">
      <c r="S1595" s="6"/>
    </row>
    <row r="1596" spans="19:19" x14ac:dyDescent="0.3">
      <c r="S1596" s="6"/>
    </row>
    <row r="1597" spans="19:19" x14ac:dyDescent="0.3">
      <c r="S1597" s="6"/>
    </row>
    <row r="1598" spans="19:19" x14ac:dyDescent="0.3">
      <c r="S1598" s="6"/>
    </row>
    <row r="1599" spans="19:19" x14ac:dyDescent="0.3">
      <c r="S1599" s="6"/>
    </row>
    <row r="1600" spans="19:19" x14ac:dyDescent="0.3">
      <c r="S1600" s="6"/>
    </row>
    <row r="1601" spans="19:19" x14ac:dyDescent="0.3">
      <c r="S1601" s="6"/>
    </row>
    <row r="1602" spans="19:19" x14ac:dyDescent="0.3">
      <c r="S1602" s="6"/>
    </row>
    <row r="1603" spans="19:19" x14ac:dyDescent="0.3">
      <c r="S1603" s="6"/>
    </row>
    <row r="1604" spans="19:19" x14ac:dyDescent="0.3">
      <c r="S1604" s="6"/>
    </row>
    <row r="1605" spans="19:19" x14ac:dyDescent="0.3">
      <c r="S1605" s="6"/>
    </row>
    <row r="1606" spans="19:19" x14ac:dyDescent="0.3">
      <c r="S1606" s="6"/>
    </row>
    <row r="1607" spans="19:19" x14ac:dyDescent="0.3">
      <c r="S1607" s="6"/>
    </row>
    <row r="1608" spans="19:19" x14ac:dyDescent="0.3">
      <c r="S1608" s="6"/>
    </row>
    <row r="1609" spans="19:19" x14ac:dyDescent="0.3">
      <c r="S1609" s="6"/>
    </row>
    <row r="1610" spans="19:19" x14ac:dyDescent="0.3">
      <c r="S1610" s="6"/>
    </row>
    <row r="1611" spans="19:19" x14ac:dyDescent="0.3">
      <c r="S1611" s="6"/>
    </row>
    <row r="1612" spans="19:19" x14ac:dyDescent="0.3">
      <c r="S1612" s="6"/>
    </row>
    <row r="1613" spans="19:19" x14ac:dyDescent="0.3">
      <c r="S1613" s="6"/>
    </row>
    <row r="1614" spans="19:19" x14ac:dyDescent="0.3">
      <c r="S1614" s="6"/>
    </row>
    <row r="1615" spans="19:19" x14ac:dyDescent="0.3">
      <c r="S1615" s="6"/>
    </row>
    <row r="1616" spans="19:19" x14ac:dyDescent="0.3">
      <c r="S1616" s="6"/>
    </row>
    <row r="1617" spans="19:19" x14ac:dyDescent="0.3">
      <c r="S1617" s="6"/>
    </row>
    <row r="1618" spans="19:19" x14ac:dyDescent="0.3">
      <c r="S1618" s="6"/>
    </row>
    <row r="1619" spans="19:19" x14ac:dyDescent="0.3">
      <c r="S1619" s="6"/>
    </row>
    <row r="1620" spans="19:19" x14ac:dyDescent="0.3">
      <c r="S1620" s="6"/>
    </row>
    <row r="1621" spans="19:19" x14ac:dyDescent="0.3">
      <c r="S1621" s="6"/>
    </row>
    <row r="1622" spans="19:19" x14ac:dyDescent="0.3">
      <c r="S1622" s="6"/>
    </row>
    <row r="1623" spans="19:19" x14ac:dyDescent="0.3">
      <c r="S1623" s="6"/>
    </row>
    <row r="1624" spans="19:19" x14ac:dyDescent="0.3">
      <c r="S1624" s="6"/>
    </row>
    <row r="1625" spans="19:19" x14ac:dyDescent="0.3">
      <c r="S1625" s="6"/>
    </row>
    <row r="1626" spans="19:19" x14ac:dyDescent="0.3">
      <c r="S1626" s="6"/>
    </row>
    <row r="1627" spans="19:19" x14ac:dyDescent="0.3">
      <c r="S1627" s="6"/>
    </row>
    <row r="1628" spans="19:19" x14ac:dyDescent="0.3">
      <c r="S1628" s="6"/>
    </row>
    <row r="1629" spans="19:19" x14ac:dyDescent="0.3">
      <c r="S1629" s="6"/>
    </row>
    <row r="1630" spans="19:19" x14ac:dyDescent="0.3">
      <c r="S1630" s="6"/>
    </row>
    <row r="1631" spans="19:19" x14ac:dyDescent="0.3">
      <c r="S1631" s="6"/>
    </row>
    <row r="1632" spans="19:19" x14ac:dyDescent="0.3">
      <c r="S1632" s="6"/>
    </row>
    <row r="1633" spans="19:19" x14ac:dyDescent="0.3">
      <c r="S1633" s="6"/>
    </row>
    <row r="1634" spans="19:19" x14ac:dyDescent="0.3">
      <c r="S1634" s="6"/>
    </row>
    <row r="1635" spans="19:19" x14ac:dyDescent="0.3">
      <c r="S1635" s="6"/>
    </row>
    <row r="1636" spans="19:19" x14ac:dyDescent="0.3">
      <c r="S1636" s="6"/>
    </row>
    <row r="1637" spans="19:19" x14ac:dyDescent="0.3">
      <c r="S1637" s="6"/>
    </row>
    <row r="1638" spans="19:19" x14ac:dyDescent="0.3">
      <c r="S1638" s="6"/>
    </row>
    <row r="1639" spans="19:19" x14ac:dyDescent="0.3">
      <c r="S1639" s="6"/>
    </row>
    <row r="1640" spans="19:19" x14ac:dyDescent="0.3">
      <c r="S1640" s="6"/>
    </row>
    <row r="1641" spans="19:19" x14ac:dyDescent="0.3">
      <c r="S1641" s="6"/>
    </row>
    <row r="1642" spans="19:19" x14ac:dyDescent="0.3">
      <c r="S1642" s="6"/>
    </row>
    <row r="1643" spans="19:19" x14ac:dyDescent="0.3">
      <c r="S1643" s="6"/>
    </row>
    <row r="1644" spans="19:19" x14ac:dyDescent="0.3">
      <c r="S1644" s="6"/>
    </row>
    <row r="1645" spans="19:19" x14ac:dyDescent="0.3">
      <c r="S1645" s="6"/>
    </row>
    <row r="1646" spans="19:19" x14ac:dyDescent="0.3">
      <c r="S1646" s="6"/>
    </row>
    <row r="1647" spans="19:19" x14ac:dyDescent="0.3">
      <c r="S1647" s="6"/>
    </row>
    <row r="1648" spans="19:19" x14ac:dyDescent="0.3">
      <c r="S1648" s="6"/>
    </row>
    <row r="1649" spans="19:19" x14ac:dyDescent="0.3">
      <c r="S1649" s="6"/>
    </row>
    <row r="1650" spans="19:19" x14ac:dyDescent="0.3">
      <c r="S1650" s="6"/>
    </row>
    <row r="1651" spans="19:19" x14ac:dyDescent="0.3">
      <c r="S1651" s="6"/>
    </row>
    <row r="1652" spans="19:19" x14ac:dyDescent="0.3">
      <c r="S1652" s="6"/>
    </row>
    <row r="1653" spans="19:19" x14ac:dyDescent="0.3">
      <c r="S1653" s="6"/>
    </row>
    <row r="1654" spans="19:19" x14ac:dyDescent="0.3">
      <c r="S1654" s="6"/>
    </row>
    <row r="1655" spans="19:19" x14ac:dyDescent="0.3">
      <c r="S1655" s="6"/>
    </row>
    <row r="1656" spans="19:19" x14ac:dyDescent="0.3">
      <c r="S1656" s="6"/>
    </row>
    <row r="1657" spans="19:19" x14ac:dyDescent="0.3">
      <c r="S1657" s="6"/>
    </row>
    <row r="1658" spans="19:19" x14ac:dyDescent="0.3">
      <c r="S1658" s="6"/>
    </row>
    <row r="1659" spans="19:19" x14ac:dyDescent="0.3">
      <c r="S1659" s="6"/>
    </row>
    <row r="1660" spans="19:19" x14ac:dyDescent="0.3">
      <c r="S1660" s="6"/>
    </row>
    <row r="1661" spans="19:19" x14ac:dyDescent="0.3">
      <c r="S1661" s="6"/>
    </row>
    <row r="1662" spans="19:19" x14ac:dyDescent="0.3">
      <c r="S1662" s="6"/>
    </row>
    <row r="1663" spans="19:19" x14ac:dyDescent="0.3">
      <c r="S1663" s="6"/>
    </row>
    <row r="1664" spans="19:19" x14ac:dyDescent="0.3">
      <c r="S1664" s="6"/>
    </row>
    <row r="1665" spans="19:19" x14ac:dyDescent="0.3">
      <c r="S1665" s="6"/>
    </row>
    <row r="1666" spans="19:19" x14ac:dyDescent="0.3">
      <c r="S1666" s="6"/>
    </row>
    <row r="1667" spans="19:19" x14ac:dyDescent="0.3">
      <c r="S1667" s="6"/>
    </row>
    <row r="1668" spans="19:19" x14ac:dyDescent="0.3">
      <c r="S1668" s="6"/>
    </row>
    <row r="1669" spans="19:19" x14ac:dyDescent="0.3">
      <c r="S1669" s="6"/>
    </row>
    <row r="1670" spans="19:19" x14ac:dyDescent="0.3">
      <c r="S1670" s="6"/>
    </row>
    <row r="1671" spans="19:19" x14ac:dyDescent="0.3">
      <c r="S1671" s="6"/>
    </row>
    <row r="1672" spans="19:19" x14ac:dyDescent="0.3">
      <c r="S1672" s="6"/>
    </row>
    <row r="1673" spans="19:19" x14ac:dyDescent="0.3">
      <c r="S1673" s="6"/>
    </row>
    <row r="1674" spans="19:19" x14ac:dyDescent="0.3">
      <c r="S1674" s="6"/>
    </row>
    <row r="1675" spans="19:19" x14ac:dyDescent="0.3">
      <c r="S1675" s="6"/>
    </row>
    <row r="1676" spans="19:19" x14ac:dyDescent="0.3">
      <c r="S1676" s="6"/>
    </row>
    <row r="1677" spans="19:19" x14ac:dyDescent="0.3">
      <c r="S1677" s="6"/>
    </row>
    <row r="1678" spans="19:19" x14ac:dyDescent="0.3">
      <c r="S1678" s="6"/>
    </row>
    <row r="1679" spans="19:19" x14ac:dyDescent="0.3">
      <c r="S1679" s="6"/>
    </row>
    <row r="1680" spans="19:19" x14ac:dyDescent="0.3">
      <c r="S1680" s="6"/>
    </row>
    <row r="1681" spans="19:19" x14ac:dyDescent="0.3">
      <c r="S1681" s="6"/>
    </row>
    <row r="1682" spans="19:19" x14ac:dyDescent="0.3">
      <c r="S1682" s="6"/>
    </row>
    <row r="1683" spans="19:19" x14ac:dyDescent="0.3">
      <c r="S1683" s="6"/>
    </row>
    <row r="1684" spans="19:19" x14ac:dyDescent="0.3">
      <c r="S1684" s="6"/>
    </row>
    <row r="1685" spans="19:19" x14ac:dyDescent="0.3">
      <c r="S1685" s="6"/>
    </row>
    <row r="1686" spans="19:19" x14ac:dyDescent="0.3">
      <c r="S1686" s="6"/>
    </row>
    <row r="1687" spans="19:19" x14ac:dyDescent="0.3">
      <c r="S1687" s="6"/>
    </row>
    <row r="1688" spans="19:19" x14ac:dyDescent="0.3">
      <c r="S1688" s="6"/>
    </row>
    <row r="1689" spans="19:19" x14ac:dyDescent="0.3">
      <c r="S1689" s="6"/>
    </row>
    <row r="1690" spans="19:19" x14ac:dyDescent="0.3">
      <c r="S1690" s="6"/>
    </row>
    <row r="1691" spans="19:19" x14ac:dyDescent="0.3">
      <c r="S1691" s="6"/>
    </row>
    <row r="1692" spans="19:19" x14ac:dyDescent="0.3">
      <c r="S1692" s="6"/>
    </row>
    <row r="1693" spans="19:19" x14ac:dyDescent="0.3">
      <c r="S1693" s="6"/>
    </row>
    <row r="1694" spans="19:19" x14ac:dyDescent="0.3">
      <c r="S1694" s="6"/>
    </row>
    <row r="1695" spans="19:19" x14ac:dyDescent="0.3">
      <c r="S1695" s="6"/>
    </row>
    <row r="1696" spans="19:19" x14ac:dyDescent="0.3">
      <c r="S1696" s="6"/>
    </row>
    <row r="1697" spans="19:19" x14ac:dyDescent="0.3">
      <c r="S1697" s="6"/>
    </row>
    <row r="1698" spans="19:19" x14ac:dyDescent="0.3">
      <c r="S1698" s="6"/>
    </row>
    <row r="1699" spans="19:19" x14ac:dyDescent="0.3">
      <c r="S1699" s="6"/>
    </row>
    <row r="1700" spans="19:19" x14ac:dyDescent="0.3">
      <c r="S1700" s="6"/>
    </row>
    <row r="1701" spans="19:19" x14ac:dyDescent="0.3">
      <c r="S1701" s="6"/>
    </row>
    <row r="1702" spans="19:19" x14ac:dyDescent="0.3">
      <c r="S1702" s="6"/>
    </row>
    <row r="1703" spans="19:19" x14ac:dyDescent="0.3">
      <c r="S1703" s="6"/>
    </row>
    <row r="1704" spans="19:19" x14ac:dyDescent="0.3">
      <c r="S1704" s="6"/>
    </row>
    <row r="1705" spans="19:19" x14ac:dyDescent="0.3">
      <c r="S1705" s="6"/>
    </row>
    <row r="1706" spans="19:19" x14ac:dyDescent="0.3">
      <c r="S1706" s="6"/>
    </row>
    <row r="1707" spans="19:19" x14ac:dyDescent="0.3">
      <c r="S1707" s="6"/>
    </row>
    <row r="1708" spans="19:19" x14ac:dyDescent="0.3">
      <c r="S1708" s="6"/>
    </row>
    <row r="1709" spans="19:19" x14ac:dyDescent="0.3">
      <c r="S1709" s="6"/>
    </row>
    <row r="1710" spans="19:19" x14ac:dyDescent="0.3">
      <c r="S1710" s="6"/>
    </row>
    <row r="1711" spans="19:19" x14ac:dyDescent="0.3">
      <c r="S1711" s="6"/>
    </row>
    <row r="1712" spans="19:19" x14ac:dyDescent="0.3">
      <c r="S1712" s="6"/>
    </row>
    <row r="1713" spans="19:19" x14ac:dyDescent="0.3">
      <c r="S1713" s="6"/>
    </row>
    <row r="1714" spans="19:19" x14ac:dyDescent="0.3">
      <c r="S1714" s="6"/>
    </row>
    <row r="1715" spans="19:19" x14ac:dyDescent="0.3">
      <c r="S1715" s="6"/>
    </row>
    <row r="1716" spans="19:19" x14ac:dyDescent="0.3">
      <c r="S1716" s="6"/>
    </row>
    <row r="1717" spans="19:19" x14ac:dyDescent="0.3">
      <c r="S1717" s="6"/>
    </row>
    <row r="1718" spans="19:19" x14ac:dyDescent="0.3">
      <c r="S1718" s="6"/>
    </row>
    <row r="1719" spans="19:19" x14ac:dyDescent="0.3">
      <c r="S1719" s="6"/>
    </row>
    <row r="1720" spans="19:19" x14ac:dyDescent="0.3">
      <c r="S1720" s="6"/>
    </row>
    <row r="1721" spans="19:19" x14ac:dyDescent="0.3">
      <c r="S1721" s="6"/>
    </row>
    <row r="1722" spans="19:19" x14ac:dyDescent="0.3">
      <c r="S1722" s="6"/>
    </row>
    <row r="1723" spans="19:19" x14ac:dyDescent="0.3">
      <c r="S1723" s="6"/>
    </row>
    <row r="1724" spans="19:19" x14ac:dyDescent="0.3">
      <c r="S1724" s="6"/>
    </row>
    <row r="1725" spans="19:19" x14ac:dyDescent="0.3">
      <c r="S1725" s="6"/>
    </row>
    <row r="1726" spans="19:19" x14ac:dyDescent="0.3">
      <c r="S1726" s="6"/>
    </row>
    <row r="1727" spans="19:19" x14ac:dyDescent="0.3">
      <c r="S1727" s="6"/>
    </row>
    <row r="1728" spans="19:19" x14ac:dyDescent="0.3">
      <c r="S1728" s="6"/>
    </row>
    <row r="1729" spans="19:19" x14ac:dyDescent="0.3">
      <c r="S1729" s="6"/>
    </row>
    <row r="1730" spans="19:19" x14ac:dyDescent="0.3">
      <c r="S1730" s="6"/>
    </row>
    <row r="1731" spans="19:19" x14ac:dyDescent="0.3">
      <c r="S1731" s="6"/>
    </row>
    <row r="1732" spans="19:19" x14ac:dyDescent="0.3">
      <c r="S1732" s="6"/>
    </row>
    <row r="1733" spans="19:19" x14ac:dyDescent="0.3">
      <c r="S1733" s="6"/>
    </row>
    <row r="1734" spans="19:19" x14ac:dyDescent="0.3">
      <c r="S1734" s="6"/>
    </row>
    <row r="1735" spans="19:19" x14ac:dyDescent="0.3">
      <c r="S1735" s="6"/>
    </row>
    <row r="1736" spans="19:19" x14ac:dyDescent="0.3">
      <c r="S1736" s="6"/>
    </row>
    <row r="1737" spans="19:19" x14ac:dyDescent="0.3">
      <c r="S1737" s="6"/>
    </row>
    <row r="1738" spans="19:19" x14ac:dyDescent="0.3">
      <c r="S1738" s="6"/>
    </row>
    <row r="1739" spans="19:19" x14ac:dyDescent="0.3">
      <c r="S1739" s="6"/>
    </row>
    <row r="1740" spans="19:19" x14ac:dyDescent="0.3">
      <c r="S1740" s="6"/>
    </row>
    <row r="1741" spans="19:19" x14ac:dyDescent="0.3">
      <c r="S1741" s="6"/>
    </row>
    <row r="1742" spans="19:19" x14ac:dyDescent="0.3">
      <c r="S1742" s="6"/>
    </row>
    <row r="1743" spans="19:19" x14ac:dyDescent="0.3">
      <c r="S1743" s="6"/>
    </row>
    <row r="1744" spans="19:19" x14ac:dyDescent="0.3">
      <c r="S1744" s="6"/>
    </row>
    <row r="1745" spans="19:19" x14ac:dyDescent="0.3">
      <c r="S1745" s="6"/>
    </row>
    <row r="1746" spans="19:19" x14ac:dyDescent="0.3">
      <c r="S1746" s="6"/>
    </row>
    <row r="1747" spans="19:19" x14ac:dyDescent="0.3">
      <c r="S1747" s="6"/>
    </row>
    <row r="1748" spans="19:19" x14ac:dyDescent="0.3">
      <c r="S1748" s="6"/>
    </row>
    <row r="1749" spans="19:19" x14ac:dyDescent="0.3">
      <c r="S1749" s="6"/>
    </row>
    <row r="1750" spans="19:19" x14ac:dyDescent="0.3">
      <c r="S1750" s="6"/>
    </row>
    <row r="1751" spans="19:19" x14ac:dyDescent="0.3">
      <c r="S1751" s="6"/>
    </row>
    <row r="1752" spans="19:19" x14ac:dyDescent="0.3">
      <c r="S1752" s="6"/>
    </row>
    <row r="1753" spans="19:19" x14ac:dyDescent="0.3">
      <c r="S1753" s="6"/>
    </row>
    <row r="1754" spans="19:19" x14ac:dyDescent="0.3">
      <c r="S1754" s="6"/>
    </row>
    <row r="1755" spans="19:19" x14ac:dyDescent="0.3">
      <c r="S1755" s="6"/>
    </row>
    <row r="1756" spans="19:19" x14ac:dyDescent="0.3">
      <c r="S1756" s="6"/>
    </row>
    <row r="1757" spans="19:19" x14ac:dyDescent="0.3">
      <c r="S1757" s="6"/>
    </row>
    <row r="1758" spans="19:19" x14ac:dyDescent="0.3">
      <c r="S1758" s="6"/>
    </row>
    <row r="1759" spans="19:19" x14ac:dyDescent="0.3">
      <c r="S1759" s="6"/>
    </row>
    <row r="1760" spans="19:19" x14ac:dyDescent="0.3">
      <c r="S1760" s="6"/>
    </row>
    <row r="1761" spans="19:19" x14ac:dyDescent="0.3">
      <c r="S1761" s="6"/>
    </row>
    <row r="1762" spans="19:19" x14ac:dyDescent="0.3">
      <c r="S1762" s="6"/>
    </row>
    <row r="1763" spans="19:19" x14ac:dyDescent="0.3">
      <c r="S1763" s="6"/>
    </row>
    <row r="1764" spans="19:19" x14ac:dyDescent="0.3">
      <c r="S1764" s="6"/>
    </row>
    <row r="1765" spans="19:19" x14ac:dyDescent="0.3">
      <c r="S1765" s="6"/>
    </row>
    <row r="1766" spans="19:19" x14ac:dyDescent="0.3">
      <c r="S1766" s="6"/>
    </row>
    <row r="1767" spans="19:19" x14ac:dyDescent="0.3">
      <c r="S1767" s="6"/>
    </row>
    <row r="1768" spans="19:19" x14ac:dyDescent="0.3">
      <c r="S1768" s="6"/>
    </row>
    <row r="1769" spans="19:19" x14ac:dyDescent="0.3">
      <c r="S1769" s="6"/>
    </row>
    <row r="1770" spans="19:19" x14ac:dyDescent="0.3">
      <c r="S1770" s="6"/>
    </row>
    <row r="1771" spans="19:19" x14ac:dyDescent="0.3">
      <c r="S1771" s="6"/>
    </row>
    <row r="1772" spans="19:19" x14ac:dyDescent="0.3">
      <c r="S1772" s="6"/>
    </row>
    <row r="1773" spans="19:19" x14ac:dyDescent="0.3">
      <c r="S1773" s="6"/>
    </row>
    <row r="1774" spans="19:19" x14ac:dyDescent="0.3">
      <c r="S1774" s="6"/>
    </row>
    <row r="1775" spans="19:19" x14ac:dyDescent="0.3">
      <c r="S1775" s="6"/>
    </row>
    <row r="1776" spans="19:19" x14ac:dyDescent="0.3">
      <c r="S1776" s="6"/>
    </row>
    <row r="1777" spans="19:19" x14ac:dyDescent="0.3">
      <c r="S1777" s="6"/>
    </row>
    <row r="1778" spans="19:19" x14ac:dyDescent="0.3">
      <c r="S1778" s="6"/>
    </row>
    <row r="1779" spans="19:19" x14ac:dyDescent="0.3">
      <c r="S1779" s="6"/>
    </row>
    <row r="1780" spans="19:19" x14ac:dyDescent="0.3">
      <c r="S1780" s="6"/>
    </row>
    <row r="1781" spans="19:19" x14ac:dyDescent="0.3">
      <c r="S1781" s="6"/>
    </row>
    <row r="1782" spans="19:19" x14ac:dyDescent="0.3">
      <c r="S1782" s="6"/>
    </row>
    <row r="1783" spans="19:19" x14ac:dyDescent="0.3">
      <c r="S1783" s="6"/>
    </row>
    <row r="1784" spans="19:19" x14ac:dyDescent="0.3">
      <c r="S1784" s="6"/>
    </row>
    <row r="1785" spans="19:19" x14ac:dyDescent="0.3">
      <c r="S1785" s="6"/>
    </row>
    <row r="1786" spans="19:19" x14ac:dyDescent="0.3">
      <c r="S1786" s="6"/>
    </row>
    <row r="1787" spans="19:19" x14ac:dyDescent="0.3">
      <c r="S1787" s="6"/>
    </row>
    <row r="1788" spans="19:19" x14ac:dyDescent="0.3">
      <c r="S1788" s="6"/>
    </row>
    <row r="1789" spans="19:19" x14ac:dyDescent="0.3">
      <c r="S1789" s="6"/>
    </row>
    <row r="1790" spans="19:19" x14ac:dyDescent="0.3">
      <c r="S1790" s="6"/>
    </row>
    <row r="1791" spans="19:19" x14ac:dyDescent="0.3">
      <c r="S1791" s="6"/>
    </row>
    <row r="1792" spans="19:19" x14ac:dyDescent="0.3">
      <c r="S1792" s="6"/>
    </row>
    <row r="1793" spans="19:19" x14ac:dyDescent="0.3">
      <c r="S1793" s="6"/>
    </row>
    <row r="1794" spans="19:19" x14ac:dyDescent="0.3">
      <c r="S1794" s="6"/>
    </row>
    <row r="1795" spans="19:19" x14ac:dyDescent="0.3">
      <c r="S1795" s="6"/>
    </row>
    <row r="1796" spans="19:19" x14ac:dyDescent="0.3">
      <c r="S1796" s="6"/>
    </row>
    <row r="1797" spans="19:19" x14ac:dyDescent="0.3">
      <c r="S1797" s="6"/>
    </row>
    <row r="1798" spans="19:19" x14ac:dyDescent="0.3">
      <c r="S1798" s="6"/>
    </row>
    <row r="1799" spans="19:19" x14ac:dyDescent="0.3">
      <c r="S1799" s="6"/>
    </row>
    <row r="1800" spans="19:19" x14ac:dyDescent="0.3">
      <c r="S1800" s="6"/>
    </row>
    <row r="1801" spans="19:19" x14ac:dyDescent="0.3">
      <c r="S1801" s="6"/>
    </row>
    <row r="1802" spans="19:19" x14ac:dyDescent="0.3">
      <c r="S1802" s="6"/>
    </row>
    <row r="1803" spans="19:19" x14ac:dyDescent="0.3">
      <c r="S1803" s="6"/>
    </row>
    <row r="1804" spans="19:19" x14ac:dyDescent="0.3">
      <c r="S1804" s="6"/>
    </row>
    <row r="1805" spans="19:19" x14ac:dyDescent="0.3">
      <c r="S1805" s="6"/>
    </row>
    <row r="1806" spans="19:19" x14ac:dyDescent="0.3">
      <c r="S1806" s="6"/>
    </row>
    <row r="1807" spans="19:19" x14ac:dyDescent="0.3">
      <c r="S1807" s="6"/>
    </row>
    <row r="1808" spans="19:19" x14ac:dyDescent="0.3">
      <c r="S1808" s="6"/>
    </row>
    <row r="1809" spans="19:19" x14ac:dyDescent="0.3">
      <c r="S1809" s="6"/>
    </row>
    <row r="1810" spans="19:19" x14ac:dyDescent="0.3">
      <c r="S1810" s="6"/>
    </row>
    <row r="1811" spans="19:19" x14ac:dyDescent="0.3">
      <c r="S1811" s="6"/>
    </row>
    <row r="1812" spans="19:19" x14ac:dyDescent="0.3">
      <c r="S1812" s="6"/>
    </row>
    <row r="1813" spans="19:19" x14ac:dyDescent="0.3">
      <c r="S1813" s="6"/>
    </row>
    <row r="1814" spans="19:19" x14ac:dyDescent="0.3">
      <c r="S1814" s="6"/>
    </row>
    <row r="1815" spans="19:19" x14ac:dyDescent="0.3">
      <c r="S1815" s="6"/>
    </row>
    <row r="1816" spans="19:19" x14ac:dyDescent="0.3">
      <c r="S1816" s="6"/>
    </row>
    <row r="1817" spans="19:19" x14ac:dyDescent="0.3">
      <c r="S1817" s="6"/>
    </row>
    <row r="1818" spans="19:19" x14ac:dyDescent="0.3">
      <c r="S1818" s="6"/>
    </row>
    <row r="1819" spans="19:19" x14ac:dyDescent="0.3">
      <c r="S1819" s="6"/>
    </row>
    <row r="1820" spans="19:19" x14ac:dyDescent="0.3">
      <c r="S1820" s="6"/>
    </row>
    <row r="1821" spans="19:19" x14ac:dyDescent="0.3">
      <c r="S1821" s="6"/>
    </row>
    <row r="1822" spans="19:19" x14ac:dyDescent="0.3">
      <c r="S1822" s="6"/>
    </row>
    <row r="1823" spans="19:19" x14ac:dyDescent="0.3">
      <c r="S1823" s="6"/>
    </row>
    <row r="1824" spans="19:19" x14ac:dyDescent="0.3">
      <c r="S1824" s="6"/>
    </row>
    <row r="1825" spans="19:19" x14ac:dyDescent="0.3">
      <c r="S1825" s="6"/>
    </row>
    <row r="1826" spans="19:19" x14ac:dyDescent="0.3">
      <c r="S1826" s="6"/>
    </row>
    <row r="1827" spans="19:19" x14ac:dyDescent="0.3">
      <c r="S1827" s="6"/>
    </row>
    <row r="1828" spans="19:19" x14ac:dyDescent="0.3">
      <c r="S1828" s="6"/>
    </row>
    <row r="1829" spans="19:19" x14ac:dyDescent="0.3">
      <c r="S1829" s="6"/>
    </row>
    <row r="1830" spans="19:19" x14ac:dyDescent="0.3">
      <c r="S1830" s="6"/>
    </row>
    <row r="1831" spans="19:19" x14ac:dyDescent="0.3">
      <c r="S1831" s="6"/>
    </row>
    <row r="1832" spans="19:19" x14ac:dyDescent="0.3">
      <c r="S1832" s="6"/>
    </row>
    <row r="1833" spans="19:19" x14ac:dyDescent="0.3">
      <c r="S1833" s="6"/>
    </row>
    <row r="1834" spans="19:19" x14ac:dyDescent="0.3">
      <c r="S1834" s="6"/>
    </row>
    <row r="1835" spans="19:19" x14ac:dyDescent="0.3">
      <c r="S1835" s="6"/>
    </row>
    <row r="1836" spans="19:19" x14ac:dyDescent="0.3">
      <c r="S1836" s="6"/>
    </row>
    <row r="1837" spans="19:19" x14ac:dyDescent="0.3">
      <c r="S1837" s="6"/>
    </row>
    <row r="1838" spans="19:19" x14ac:dyDescent="0.3">
      <c r="S1838" s="6"/>
    </row>
    <row r="1839" spans="19:19" x14ac:dyDescent="0.3">
      <c r="S1839" s="6"/>
    </row>
    <row r="1840" spans="19:19" x14ac:dyDescent="0.3">
      <c r="S1840" s="6"/>
    </row>
    <row r="1841" spans="19:19" x14ac:dyDescent="0.3">
      <c r="S1841" s="6"/>
    </row>
    <row r="1842" spans="19:19" x14ac:dyDescent="0.3">
      <c r="S1842" s="6"/>
    </row>
    <row r="1843" spans="19:19" x14ac:dyDescent="0.3">
      <c r="S1843" s="6"/>
    </row>
    <row r="1844" spans="19:19" x14ac:dyDescent="0.3">
      <c r="S1844" s="6"/>
    </row>
    <row r="1845" spans="19:19" x14ac:dyDescent="0.3">
      <c r="S1845" s="6"/>
    </row>
    <row r="1846" spans="19:19" x14ac:dyDescent="0.3">
      <c r="S1846" s="6"/>
    </row>
    <row r="1847" spans="19:19" x14ac:dyDescent="0.3">
      <c r="S1847" s="6"/>
    </row>
    <row r="1848" spans="19:19" x14ac:dyDescent="0.3">
      <c r="S1848" s="6"/>
    </row>
    <row r="1849" spans="19:19" x14ac:dyDescent="0.3">
      <c r="S1849" s="6"/>
    </row>
    <row r="1850" spans="19:19" x14ac:dyDescent="0.3">
      <c r="S1850" s="6"/>
    </row>
    <row r="1851" spans="19:19" x14ac:dyDescent="0.3">
      <c r="S1851" s="6"/>
    </row>
    <row r="1852" spans="19:19" x14ac:dyDescent="0.3">
      <c r="S1852" s="6"/>
    </row>
    <row r="1853" spans="19:19" x14ac:dyDescent="0.3">
      <c r="S1853" s="6"/>
    </row>
    <row r="1854" spans="19:19" x14ac:dyDescent="0.3">
      <c r="S1854" s="6"/>
    </row>
    <row r="1855" spans="19:19" x14ac:dyDescent="0.3">
      <c r="S1855" s="6"/>
    </row>
    <row r="1856" spans="19:19" x14ac:dyDescent="0.3">
      <c r="S1856" s="6"/>
    </row>
    <row r="1857" spans="19:19" x14ac:dyDescent="0.3">
      <c r="S1857" s="6"/>
    </row>
    <row r="1858" spans="19:19" x14ac:dyDescent="0.3">
      <c r="S1858" s="6"/>
    </row>
    <row r="1859" spans="19:19" x14ac:dyDescent="0.3">
      <c r="S1859" s="6"/>
    </row>
    <row r="1860" spans="19:19" x14ac:dyDescent="0.3">
      <c r="S1860" s="6"/>
    </row>
    <row r="1861" spans="19:19" x14ac:dyDescent="0.3">
      <c r="S1861" s="6"/>
    </row>
    <row r="1862" spans="19:19" x14ac:dyDescent="0.3">
      <c r="S1862" s="6"/>
    </row>
    <row r="1863" spans="19:19" x14ac:dyDescent="0.3">
      <c r="S1863" s="6"/>
    </row>
    <row r="1864" spans="19:19" x14ac:dyDescent="0.3">
      <c r="S1864" s="6"/>
    </row>
    <row r="1865" spans="19:19" x14ac:dyDescent="0.3">
      <c r="S1865" s="6"/>
    </row>
    <row r="1866" spans="19:19" x14ac:dyDescent="0.3">
      <c r="S1866" s="6"/>
    </row>
    <row r="1867" spans="19:19" x14ac:dyDescent="0.3">
      <c r="S1867" s="6"/>
    </row>
    <row r="1868" spans="19:19" x14ac:dyDescent="0.3">
      <c r="S1868" s="6"/>
    </row>
    <row r="1869" spans="19:19" x14ac:dyDescent="0.3">
      <c r="S1869" s="6"/>
    </row>
    <row r="1870" spans="19:19" x14ac:dyDescent="0.3">
      <c r="S1870" s="6"/>
    </row>
    <row r="1871" spans="19:19" x14ac:dyDescent="0.3">
      <c r="S1871" s="6"/>
    </row>
    <row r="1872" spans="19:19" x14ac:dyDescent="0.3">
      <c r="S1872" s="6"/>
    </row>
    <row r="1873" spans="19:19" x14ac:dyDescent="0.3">
      <c r="S1873" s="6"/>
    </row>
    <row r="1874" spans="19:19" x14ac:dyDescent="0.3">
      <c r="S1874" s="6"/>
    </row>
    <row r="1875" spans="19:19" x14ac:dyDescent="0.3">
      <c r="S1875" s="6"/>
    </row>
    <row r="1876" spans="19:19" x14ac:dyDescent="0.3">
      <c r="S1876" s="6"/>
    </row>
    <row r="1877" spans="19:19" x14ac:dyDescent="0.3">
      <c r="S1877" s="6"/>
    </row>
    <row r="1878" spans="19:19" x14ac:dyDescent="0.3">
      <c r="S1878" s="6"/>
    </row>
    <row r="1879" spans="19:19" x14ac:dyDescent="0.3">
      <c r="S1879" s="6"/>
    </row>
    <row r="1880" spans="19:19" x14ac:dyDescent="0.3">
      <c r="S1880" s="6"/>
    </row>
    <row r="1881" spans="19:19" x14ac:dyDescent="0.3">
      <c r="S1881" s="6"/>
    </row>
    <row r="1882" spans="19:19" x14ac:dyDescent="0.3">
      <c r="S1882" s="6"/>
    </row>
    <row r="1883" spans="19:19" x14ac:dyDescent="0.3">
      <c r="S1883" s="6"/>
    </row>
    <row r="1884" spans="19:19" x14ac:dyDescent="0.3">
      <c r="S1884" s="6"/>
    </row>
    <row r="1885" spans="19:19" x14ac:dyDescent="0.3">
      <c r="S1885" s="6"/>
    </row>
    <row r="1886" spans="19:19" x14ac:dyDescent="0.3">
      <c r="S1886" s="6"/>
    </row>
    <row r="1887" spans="19:19" x14ac:dyDescent="0.3">
      <c r="S1887" s="6"/>
    </row>
    <row r="1888" spans="19:19" x14ac:dyDescent="0.3">
      <c r="S1888" s="6"/>
    </row>
    <row r="1889" spans="19:19" x14ac:dyDescent="0.3">
      <c r="S1889" s="6"/>
    </row>
    <row r="1890" spans="19:19" x14ac:dyDescent="0.3">
      <c r="S1890" s="6"/>
    </row>
    <row r="1891" spans="19:19" x14ac:dyDescent="0.3">
      <c r="S1891" s="6"/>
    </row>
    <row r="1892" spans="19:19" x14ac:dyDescent="0.3">
      <c r="S1892" s="6"/>
    </row>
    <row r="1893" spans="19:19" x14ac:dyDescent="0.3">
      <c r="S1893" s="6"/>
    </row>
    <row r="1894" spans="19:19" x14ac:dyDescent="0.3">
      <c r="S1894" s="6"/>
    </row>
    <row r="1895" spans="19:19" x14ac:dyDescent="0.3">
      <c r="S1895" s="6"/>
    </row>
    <row r="1896" spans="19:19" x14ac:dyDescent="0.3">
      <c r="S1896" s="6"/>
    </row>
    <row r="1897" spans="19:19" x14ac:dyDescent="0.3">
      <c r="S1897" s="6"/>
    </row>
    <row r="1898" spans="19:19" x14ac:dyDescent="0.3">
      <c r="S1898" s="6"/>
    </row>
    <row r="1899" spans="19:19" x14ac:dyDescent="0.3">
      <c r="S1899" s="6"/>
    </row>
    <row r="1900" spans="19:19" x14ac:dyDescent="0.3">
      <c r="S1900" s="6"/>
    </row>
    <row r="1901" spans="19:19" x14ac:dyDescent="0.3">
      <c r="S1901" s="6"/>
    </row>
    <row r="1902" spans="19:19" x14ac:dyDescent="0.3">
      <c r="S1902" s="6"/>
    </row>
    <row r="1903" spans="19:19" x14ac:dyDescent="0.3">
      <c r="S1903" s="6"/>
    </row>
    <row r="1904" spans="19:19" x14ac:dyDescent="0.3">
      <c r="S1904" s="6"/>
    </row>
    <row r="1905" spans="19:19" x14ac:dyDescent="0.3">
      <c r="S1905" s="6"/>
    </row>
    <row r="1906" spans="19:19" x14ac:dyDescent="0.3">
      <c r="S1906" s="6"/>
    </row>
    <row r="1907" spans="19:19" x14ac:dyDescent="0.3">
      <c r="S1907" s="6"/>
    </row>
    <row r="1908" spans="19:19" x14ac:dyDescent="0.3">
      <c r="S1908" s="6"/>
    </row>
    <row r="1909" spans="19:19" x14ac:dyDescent="0.3">
      <c r="S1909" s="6"/>
    </row>
    <row r="1910" spans="19:19" x14ac:dyDescent="0.3">
      <c r="S1910" s="6"/>
    </row>
    <row r="1911" spans="19:19" x14ac:dyDescent="0.3">
      <c r="S1911" s="6"/>
    </row>
    <row r="1912" spans="19:19" x14ac:dyDescent="0.3">
      <c r="S1912" s="6"/>
    </row>
    <row r="1913" spans="19:19" x14ac:dyDescent="0.3">
      <c r="S1913" s="6"/>
    </row>
    <row r="1914" spans="19:19" x14ac:dyDescent="0.3">
      <c r="S1914" s="6"/>
    </row>
    <row r="1915" spans="19:19" x14ac:dyDescent="0.3">
      <c r="S1915" s="6"/>
    </row>
    <row r="1916" spans="19:19" x14ac:dyDescent="0.3">
      <c r="S1916" s="6"/>
    </row>
    <row r="1917" spans="19:19" x14ac:dyDescent="0.3">
      <c r="S1917" s="6"/>
    </row>
    <row r="1918" spans="19:19" x14ac:dyDescent="0.3">
      <c r="S1918" s="6"/>
    </row>
    <row r="1919" spans="19:19" x14ac:dyDescent="0.3">
      <c r="S1919" s="6"/>
    </row>
    <row r="1920" spans="19:19" x14ac:dyDescent="0.3">
      <c r="S1920" s="6"/>
    </row>
    <row r="1921" spans="19:19" x14ac:dyDescent="0.3">
      <c r="S1921" s="6"/>
    </row>
    <row r="1922" spans="19:19" x14ac:dyDescent="0.3">
      <c r="S1922" s="6"/>
    </row>
    <row r="1923" spans="19:19" x14ac:dyDescent="0.3">
      <c r="S1923" s="6"/>
    </row>
    <row r="1924" spans="19:19" x14ac:dyDescent="0.3">
      <c r="S1924" s="6"/>
    </row>
    <row r="1925" spans="19:19" x14ac:dyDescent="0.3">
      <c r="S1925" s="6"/>
    </row>
    <row r="1926" spans="19:19" x14ac:dyDescent="0.3">
      <c r="S1926" s="6"/>
    </row>
    <row r="1927" spans="19:19" x14ac:dyDescent="0.3">
      <c r="S1927" s="6"/>
    </row>
    <row r="1928" spans="19:19" x14ac:dyDescent="0.3">
      <c r="S1928" s="6"/>
    </row>
    <row r="1929" spans="19:19" x14ac:dyDescent="0.3">
      <c r="S1929" s="6"/>
    </row>
    <row r="1930" spans="19:19" x14ac:dyDescent="0.3">
      <c r="S1930" s="6"/>
    </row>
    <row r="1931" spans="19:19" x14ac:dyDescent="0.3">
      <c r="S1931" s="6"/>
    </row>
    <row r="1932" spans="19:19" x14ac:dyDescent="0.3">
      <c r="S1932" s="6"/>
    </row>
    <row r="1933" spans="19:19" x14ac:dyDescent="0.3">
      <c r="S1933" s="6"/>
    </row>
    <row r="1934" spans="19:19" x14ac:dyDescent="0.3">
      <c r="S1934" s="6"/>
    </row>
    <row r="1935" spans="19:19" x14ac:dyDescent="0.3">
      <c r="S1935" s="6"/>
    </row>
    <row r="1936" spans="19:19" x14ac:dyDescent="0.3">
      <c r="S1936" s="6"/>
    </row>
    <row r="1937" spans="19:19" x14ac:dyDescent="0.3">
      <c r="S1937" s="6"/>
    </row>
    <row r="1938" spans="19:19" x14ac:dyDescent="0.3">
      <c r="S1938" s="6"/>
    </row>
    <row r="1939" spans="19:19" x14ac:dyDescent="0.3">
      <c r="S1939" s="6"/>
    </row>
    <row r="1940" spans="19:19" x14ac:dyDescent="0.3">
      <c r="S1940" s="6"/>
    </row>
    <row r="1941" spans="19:19" x14ac:dyDescent="0.3">
      <c r="S1941" s="6"/>
    </row>
    <row r="1942" spans="19:19" x14ac:dyDescent="0.3">
      <c r="S1942" s="6"/>
    </row>
    <row r="1943" spans="19:19" x14ac:dyDescent="0.3">
      <c r="S1943" s="6"/>
    </row>
    <row r="1944" spans="19:19" x14ac:dyDescent="0.3">
      <c r="S1944" s="6"/>
    </row>
    <row r="1945" spans="19:19" x14ac:dyDescent="0.3">
      <c r="S1945" s="6"/>
    </row>
    <row r="1946" spans="19:19" x14ac:dyDescent="0.3">
      <c r="S1946" s="6"/>
    </row>
    <row r="1947" spans="19:19" x14ac:dyDescent="0.3">
      <c r="S1947" s="6"/>
    </row>
    <row r="1948" spans="19:19" x14ac:dyDescent="0.3">
      <c r="S1948" s="6"/>
    </row>
    <row r="1949" spans="19:19" x14ac:dyDescent="0.3">
      <c r="S1949" s="6"/>
    </row>
    <row r="1950" spans="19:19" x14ac:dyDescent="0.3">
      <c r="S1950" s="6"/>
    </row>
    <row r="1951" spans="19:19" x14ac:dyDescent="0.3">
      <c r="S1951" s="6"/>
    </row>
    <row r="1952" spans="19:19" x14ac:dyDescent="0.3">
      <c r="S1952" s="6"/>
    </row>
    <row r="1953" spans="19:19" x14ac:dyDescent="0.3">
      <c r="S1953" s="6"/>
    </row>
    <row r="1954" spans="19:19" x14ac:dyDescent="0.3">
      <c r="S1954" s="6"/>
    </row>
    <row r="1955" spans="19:19" x14ac:dyDescent="0.3">
      <c r="S1955" s="6"/>
    </row>
    <row r="1956" spans="19:19" x14ac:dyDescent="0.3">
      <c r="S1956" s="6"/>
    </row>
    <row r="1957" spans="19:19" x14ac:dyDescent="0.3">
      <c r="S1957" s="6"/>
    </row>
    <row r="1958" spans="19:19" x14ac:dyDescent="0.3">
      <c r="S1958" s="6"/>
    </row>
    <row r="1959" spans="19:19" x14ac:dyDescent="0.3">
      <c r="S1959" s="6"/>
    </row>
    <row r="1960" spans="19:19" x14ac:dyDescent="0.3">
      <c r="S1960" s="6"/>
    </row>
    <row r="1961" spans="19:19" x14ac:dyDescent="0.3">
      <c r="S1961" s="6"/>
    </row>
    <row r="1962" spans="19:19" x14ac:dyDescent="0.3">
      <c r="S1962" s="6"/>
    </row>
    <row r="1963" spans="19:19" x14ac:dyDescent="0.3">
      <c r="S1963" s="6"/>
    </row>
    <row r="1964" spans="19:19" x14ac:dyDescent="0.3">
      <c r="S1964" s="6"/>
    </row>
    <row r="1965" spans="19:19" x14ac:dyDescent="0.3">
      <c r="S1965" s="6"/>
    </row>
    <row r="1966" spans="19:19" x14ac:dyDescent="0.3">
      <c r="S1966" s="6"/>
    </row>
    <row r="1967" spans="19:19" x14ac:dyDescent="0.3">
      <c r="S1967" s="6"/>
    </row>
    <row r="1968" spans="19:19" x14ac:dyDescent="0.3">
      <c r="S1968" s="6"/>
    </row>
    <row r="1969" spans="19:19" x14ac:dyDescent="0.3">
      <c r="S1969" s="6"/>
    </row>
    <row r="1970" spans="19:19" x14ac:dyDescent="0.3">
      <c r="S1970" s="6"/>
    </row>
    <row r="1971" spans="19:19" x14ac:dyDescent="0.3">
      <c r="S1971" s="6"/>
    </row>
    <row r="1972" spans="19:19" x14ac:dyDescent="0.3">
      <c r="S1972" s="6"/>
    </row>
    <row r="1973" spans="19:19" x14ac:dyDescent="0.3">
      <c r="S1973" s="6"/>
    </row>
    <row r="1974" spans="19:19" x14ac:dyDescent="0.3">
      <c r="S1974" s="6"/>
    </row>
    <row r="1975" spans="19:19" x14ac:dyDescent="0.3">
      <c r="S1975" s="6"/>
    </row>
    <row r="1976" spans="19:19" x14ac:dyDescent="0.3">
      <c r="S1976" s="6"/>
    </row>
    <row r="1977" spans="19:19" x14ac:dyDescent="0.3">
      <c r="S1977" s="6"/>
    </row>
    <row r="1978" spans="19:19" x14ac:dyDescent="0.3">
      <c r="S1978" s="6"/>
    </row>
    <row r="1979" spans="19:19" x14ac:dyDescent="0.3">
      <c r="S1979" s="6"/>
    </row>
    <row r="1980" spans="19:19" x14ac:dyDescent="0.3">
      <c r="S1980" s="6"/>
    </row>
    <row r="1981" spans="19:19" x14ac:dyDescent="0.3">
      <c r="S1981" s="6"/>
    </row>
    <row r="1982" spans="19:19" x14ac:dyDescent="0.3">
      <c r="S1982" s="6"/>
    </row>
    <row r="1983" spans="19:19" x14ac:dyDescent="0.3">
      <c r="S1983" s="6"/>
    </row>
    <row r="1984" spans="19:19" x14ac:dyDescent="0.3">
      <c r="S1984" s="6"/>
    </row>
    <row r="1985" spans="19:19" x14ac:dyDescent="0.3">
      <c r="S1985" s="6"/>
    </row>
    <row r="1986" spans="19:19" x14ac:dyDescent="0.3">
      <c r="S1986" s="6"/>
    </row>
    <row r="1987" spans="19:19" x14ac:dyDescent="0.3">
      <c r="S1987" s="6"/>
    </row>
    <row r="1988" spans="19:19" x14ac:dyDescent="0.3">
      <c r="S1988" s="6"/>
    </row>
    <row r="1989" spans="19:19" x14ac:dyDescent="0.3">
      <c r="S1989" s="6"/>
    </row>
    <row r="1990" spans="19:19" x14ac:dyDescent="0.3">
      <c r="S1990" s="6"/>
    </row>
    <row r="1991" spans="19:19" x14ac:dyDescent="0.3">
      <c r="S1991" s="6"/>
    </row>
    <row r="1992" spans="19:19" x14ac:dyDescent="0.3">
      <c r="S1992" s="6"/>
    </row>
    <row r="1993" spans="19:19" x14ac:dyDescent="0.3">
      <c r="S1993" s="6"/>
    </row>
    <row r="1994" spans="19:19" x14ac:dyDescent="0.3">
      <c r="S1994" s="6"/>
    </row>
    <row r="1995" spans="19:19" x14ac:dyDescent="0.3">
      <c r="S1995" s="6"/>
    </row>
    <row r="1996" spans="19:19" x14ac:dyDescent="0.3">
      <c r="S1996" s="6"/>
    </row>
    <row r="1997" spans="19:19" x14ac:dyDescent="0.3">
      <c r="S1997" s="6"/>
    </row>
    <row r="1998" spans="19:19" x14ac:dyDescent="0.3">
      <c r="S1998" s="6"/>
    </row>
    <row r="1999" spans="19:19" x14ac:dyDescent="0.3">
      <c r="S1999" s="6"/>
    </row>
    <row r="2000" spans="19:19" x14ac:dyDescent="0.3">
      <c r="S2000" s="6"/>
    </row>
    <row r="2001" spans="19:19" x14ac:dyDescent="0.3">
      <c r="S2001" s="6"/>
    </row>
    <row r="2002" spans="19:19" x14ac:dyDescent="0.3">
      <c r="S2002" s="6"/>
    </row>
    <row r="2003" spans="19:19" x14ac:dyDescent="0.3">
      <c r="S2003" s="6"/>
    </row>
    <row r="2004" spans="19:19" x14ac:dyDescent="0.3">
      <c r="S2004" s="6"/>
    </row>
    <row r="2005" spans="19:19" x14ac:dyDescent="0.3">
      <c r="S2005" s="6"/>
    </row>
    <row r="2006" spans="19:19" x14ac:dyDescent="0.3">
      <c r="S2006" s="6"/>
    </row>
    <row r="2007" spans="19:19" x14ac:dyDescent="0.3">
      <c r="S2007" s="6"/>
    </row>
    <row r="2008" spans="19:19" x14ac:dyDescent="0.3">
      <c r="S2008" s="6"/>
    </row>
    <row r="2009" spans="19:19" x14ac:dyDescent="0.3">
      <c r="S2009" s="6"/>
    </row>
    <row r="2010" spans="19:19" x14ac:dyDescent="0.3">
      <c r="S2010" s="6"/>
    </row>
    <row r="2011" spans="19:19" x14ac:dyDescent="0.3">
      <c r="S2011" s="6"/>
    </row>
    <row r="2012" spans="19:19" x14ac:dyDescent="0.3">
      <c r="S2012" s="6"/>
    </row>
    <row r="2013" spans="19:19" x14ac:dyDescent="0.3">
      <c r="S2013" s="6"/>
    </row>
    <row r="2014" spans="19:19" x14ac:dyDescent="0.3">
      <c r="S2014" s="6"/>
    </row>
    <row r="2015" spans="19:19" x14ac:dyDescent="0.3">
      <c r="S2015" s="6"/>
    </row>
    <row r="2016" spans="19:19" x14ac:dyDescent="0.3">
      <c r="S2016" s="6"/>
    </row>
    <row r="2017" spans="19:19" x14ac:dyDescent="0.3">
      <c r="S2017" s="6"/>
    </row>
    <row r="2018" spans="19:19" x14ac:dyDescent="0.3">
      <c r="S2018" s="6"/>
    </row>
    <row r="2019" spans="19:19" x14ac:dyDescent="0.3">
      <c r="S2019" s="6"/>
    </row>
    <row r="2020" spans="19:19" x14ac:dyDescent="0.3">
      <c r="S2020" s="6"/>
    </row>
    <row r="2021" spans="19:19" x14ac:dyDescent="0.3">
      <c r="S2021" s="6"/>
    </row>
    <row r="2022" spans="19:19" x14ac:dyDescent="0.3">
      <c r="S2022" s="6"/>
    </row>
    <row r="2023" spans="19:19" x14ac:dyDescent="0.3">
      <c r="S2023" s="6"/>
    </row>
    <row r="2024" spans="19:19" x14ac:dyDescent="0.3">
      <c r="S2024" s="6"/>
    </row>
    <row r="2025" spans="19:19" x14ac:dyDescent="0.3">
      <c r="S2025" s="6"/>
    </row>
    <row r="2026" spans="19:19" x14ac:dyDescent="0.3">
      <c r="S2026" s="6"/>
    </row>
    <row r="2027" spans="19:19" x14ac:dyDescent="0.3">
      <c r="S2027" s="6"/>
    </row>
    <row r="2028" spans="19:19" x14ac:dyDescent="0.3">
      <c r="S2028" s="6"/>
    </row>
    <row r="2029" spans="19:19" x14ac:dyDescent="0.3">
      <c r="S2029" s="6"/>
    </row>
    <row r="2030" spans="19:19" x14ac:dyDescent="0.3">
      <c r="S2030" s="6"/>
    </row>
    <row r="2031" spans="19:19" x14ac:dyDescent="0.3">
      <c r="S2031" s="6"/>
    </row>
    <row r="2032" spans="19:19" x14ac:dyDescent="0.3">
      <c r="S2032" s="6"/>
    </row>
    <row r="2033" spans="19:19" x14ac:dyDescent="0.3">
      <c r="S2033" s="6"/>
    </row>
    <row r="2034" spans="19:19" x14ac:dyDescent="0.3">
      <c r="S2034" s="6"/>
    </row>
    <row r="2035" spans="19:19" x14ac:dyDescent="0.3">
      <c r="S2035" s="6"/>
    </row>
    <row r="2036" spans="19:19" x14ac:dyDescent="0.3">
      <c r="S2036" s="6"/>
    </row>
    <row r="2037" spans="19:19" x14ac:dyDescent="0.3">
      <c r="S2037" s="6"/>
    </row>
    <row r="2038" spans="19:19" x14ac:dyDescent="0.3">
      <c r="S2038" s="6"/>
    </row>
    <row r="2039" spans="19:19" x14ac:dyDescent="0.3">
      <c r="S2039" s="6"/>
    </row>
    <row r="2040" spans="19:19" x14ac:dyDescent="0.3">
      <c r="S2040" s="6"/>
    </row>
    <row r="2041" spans="19:19" x14ac:dyDescent="0.3">
      <c r="S2041" s="6"/>
    </row>
    <row r="2042" spans="19:19" x14ac:dyDescent="0.3">
      <c r="S2042" s="6"/>
    </row>
    <row r="2043" spans="19:19" x14ac:dyDescent="0.3">
      <c r="S2043" s="6"/>
    </row>
    <row r="2044" spans="19:19" x14ac:dyDescent="0.3">
      <c r="S2044" s="6"/>
    </row>
    <row r="2045" spans="19:19" x14ac:dyDescent="0.3">
      <c r="S2045" s="6"/>
    </row>
    <row r="2046" spans="19:19" x14ac:dyDescent="0.3">
      <c r="S2046" s="6"/>
    </row>
    <row r="2047" spans="19:19" x14ac:dyDescent="0.3">
      <c r="S2047" s="6"/>
    </row>
    <row r="2048" spans="19:19" x14ac:dyDescent="0.3">
      <c r="S2048" s="6"/>
    </row>
    <row r="2049" spans="19:19" x14ac:dyDescent="0.3">
      <c r="S2049" s="6"/>
    </row>
    <row r="2050" spans="19:19" x14ac:dyDescent="0.3">
      <c r="S2050" s="6"/>
    </row>
    <row r="2051" spans="19:19" x14ac:dyDescent="0.3">
      <c r="S2051" s="6"/>
    </row>
    <row r="2052" spans="19:19" x14ac:dyDescent="0.3">
      <c r="S2052" s="6"/>
    </row>
    <row r="2053" spans="19:19" x14ac:dyDescent="0.3">
      <c r="S2053" s="6"/>
    </row>
    <row r="2054" spans="19:19" x14ac:dyDescent="0.3">
      <c r="S2054" s="6"/>
    </row>
    <row r="2055" spans="19:19" x14ac:dyDescent="0.3">
      <c r="S2055" s="6"/>
    </row>
    <row r="2056" spans="19:19" x14ac:dyDescent="0.3">
      <c r="S2056" s="6"/>
    </row>
    <row r="2057" spans="19:19" x14ac:dyDescent="0.3">
      <c r="S2057" s="6"/>
    </row>
    <row r="2058" spans="19:19" x14ac:dyDescent="0.3">
      <c r="S2058" s="6"/>
    </row>
    <row r="2059" spans="19:19" x14ac:dyDescent="0.3">
      <c r="S2059" s="6"/>
    </row>
    <row r="2060" spans="19:19" x14ac:dyDescent="0.3">
      <c r="S2060" s="6"/>
    </row>
    <row r="2061" spans="19:19" x14ac:dyDescent="0.3">
      <c r="S2061" s="6"/>
    </row>
    <row r="2062" spans="19:19" x14ac:dyDescent="0.3">
      <c r="S2062" s="6"/>
    </row>
    <row r="2063" spans="19:19" x14ac:dyDescent="0.3">
      <c r="S2063" s="6"/>
    </row>
    <row r="2064" spans="19:19" x14ac:dyDescent="0.3">
      <c r="S2064" s="6"/>
    </row>
    <row r="2065" spans="19:19" x14ac:dyDescent="0.3">
      <c r="S2065" s="6"/>
    </row>
    <row r="2066" spans="19:19" x14ac:dyDescent="0.3">
      <c r="S2066" s="6"/>
    </row>
    <row r="2067" spans="19:19" x14ac:dyDescent="0.3">
      <c r="S2067" s="6"/>
    </row>
    <row r="2068" spans="19:19" x14ac:dyDescent="0.3">
      <c r="S2068" s="6"/>
    </row>
    <row r="2069" spans="19:19" x14ac:dyDescent="0.3">
      <c r="S2069" s="6"/>
    </row>
    <row r="2070" spans="19:19" x14ac:dyDescent="0.3">
      <c r="S2070" s="6"/>
    </row>
    <row r="2071" spans="19:19" x14ac:dyDescent="0.3">
      <c r="S2071" s="6"/>
    </row>
    <row r="2072" spans="19:19" x14ac:dyDescent="0.3">
      <c r="S2072" s="6"/>
    </row>
    <row r="2073" spans="19:19" x14ac:dyDescent="0.3">
      <c r="S2073" s="6"/>
    </row>
    <row r="2074" spans="19:19" x14ac:dyDescent="0.3">
      <c r="S2074" s="6"/>
    </row>
    <row r="2075" spans="19:19" x14ac:dyDescent="0.3">
      <c r="S2075" s="6"/>
    </row>
    <row r="2076" spans="19:19" x14ac:dyDescent="0.3">
      <c r="S2076" s="6"/>
    </row>
    <row r="2077" spans="19:19" x14ac:dyDescent="0.3">
      <c r="S2077" s="6"/>
    </row>
    <row r="2078" spans="19:19" x14ac:dyDescent="0.3">
      <c r="S2078" s="6"/>
    </row>
    <row r="2079" spans="19:19" x14ac:dyDescent="0.3">
      <c r="S2079" s="6"/>
    </row>
    <row r="2080" spans="19:19" x14ac:dyDescent="0.3">
      <c r="S2080" s="6"/>
    </row>
    <row r="2081" spans="19:19" x14ac:dyDescent="0.3">
      <c r="S2081" s="6"/>
    </row>
    <row r="2082" spans="19:19" x14ac:dyDescent="0.3">
      <c r="S2082" s="6"/>
    </row>
    <row r="2083" spans="19:19" x14ac:dyDescent="0.3">
      <c r="S2083" s="6"/>
    </row>
    <row r="2084" spans="19:19" x14ac:dyDescent="0.3">
      <c r="S2084" s="6"/>
    </row>
    <row r="2085" spans="19:19" x14ac:dyDescent="0.3">
      <c r="S2085" s="6"/>
    </row>
    <row r="2086" spans="19:19" x14ac:dyDescent="0.3">
      <c r="S2086" s="6"/>
    </row>
    <row r="2087" spans="19:19" x14ac:dyDescent="0.3">
      <c r="S2087" s="6"/>
    </row>
    <row r="2088" spans="19:19" x14ac:dyDescent="0.3">
      <c r="S2088" s="6"/>
    </row>
    <row r="2089" spans="19:19" x14ac:dyDescent="0.3">
      <c r="S2089" s="6"/>
    </row>
    <row r="2090" spans="19:19" x14ac:dyDescent="0.3">
      <c r="S2090" s="6"/>
    </row>
    <row r="2091" spans="19:19" x14ac:dyDescent="0.3">
      <c r="S2091" s="6"/>
    </row>
    <row r="2092" spans="19:19" x14ac:dyDescent="0.3">
      <c r="S2092" s="6"/>
    </row>
    <row r="2093" spans="19:19" x14ac:dyDescent="0.3">
      <c r="S2093" s="6"/>
    </row>
    <row r="2094" spans="19:19" x14ac:dyDescent="0.3">
      <c r="S2094" s="6"/>
    </row>
    <row r="2095" spans="19:19" x14ac:dyDescent="0.3">
      <c r="S2095" s="6"/>
    </row>
    <row r="2096" spans="19:19" x14ac:dyDescent="0.3">
      <c r="S2096" s="6"/>
    </row>
    <row r="2097" spans="19:19" x14ac:dyDescent="0.3">
      <c r="S2097" s="6"/>
    </row>
    <row r="2098" spans="19:19" x14ac:dyDescent="0.3">
      <c r="S2098" s="6"/>
    </row>
    <row r="2099" spans="19:19" x14ac:dyDescent="0.3">
      <c r="S2099" s="6"/>
    </row>
    <row r="2100" spans="19:19" x14ac:dyDescent="0.3">
      <c r="S2100" s="6"/>
    </row>
    <row r="2101" spans="19:19" x14ac:dyDescent="0.3">
      <c r="S2101" s="6"/>
    </row>
    <row r="2102" spans="19:19" x14ac:dyDescent="0.3">
      <c r="S2102" s="6"/>
    </row>
    <row r="2103" spans="19:19" x14ac:dyDescent="0.3">
      <c r="S2103" s="6"/>
    </row>
    <row r="2104" spans="19:19" x14ac:dyDescent="0.3">
      <c r="S2104" s="6"/>
    </row>
    <row r="2105" spans="19:19" x14ac:dyDescent="0.3">
      <c r="S2105" s="6"/>
    </row>
    <row r="2106" spans="19:19" x14ac:dyDescent="0.3">
      <c r="S2106" s="6"/>
    </row>
    <row r="2107" spans="19:19" x14ac:dyDescent="0.3">
      <c r="S2107" s="6"/>
    </row>
    <row r="2108" spans="19:19" x14ac:dyDescent="0.3">
      <c r="S2108" s="6"/>
    </row>
    <row r="2109" spans="19:19" x14ac:dyDescent="0.3">
      <c r="S2109" s="6"/>
    </row>
    <row r="2110" spans="19:19" x14ac:dyDescent="0.3">
      <c r="S2110" s="6"/>
    </row>
    <row r="2111" spans="19:19" x14ac:dyDescent="0.3">
      <c r="S2111" s="6"/>
    </row>
    <row r="2112" spans="19:19" x14ac:dyDescent="0.3">
      <c r="S2112" s="6"/>
    </row>
    <row r="2113" spans="19:19" x14ac:dyDescent="0.3">
      <c r="S2113" s="6"/>
    </row>
    <row r="2114" spans="19:19" x14ac:dyDescent="0.3">
      <c r="S2114" s="6"/>
    </row>
    <row r="2115" spans="19:19" x14ac:dyDescent="0.3">
      <c r="S2115" s="6"/>
    </row>
    <row r="2116" spans="19:19" x14ac:dyDescent="0.3">
      <c r="S2116" s="6"/>
    </row>
    <row r="2117" spans="19:19" x14ac:dyDescent="0.3">
      <c r="S2117" s="6"/>
    </row>
    <row r="2118" spans="19:19" x14ac:dyDescent="0.3">
      <c r="S2118" s="6"/>
    </row>
    <row r="2119" spans="19:19" x14ac:dyDescent="0.3">
      <c r="S2119" s="6"/>
    </row>
    <row r="2120" spans="19:19" x14ac:dyDescent="0.3">
      <c r="S2120" s="6"/>
    </row>
    <row r="2121" spans="19:19" x14ac:dyDescent="0.3">
      <c r="S2121" s="6"/>
    </row>
    <row r="2122" spans="19:19" x14ac:dyDescent="0.3">
      <c r="S2122" s="6"/>
    </row>
    <row r="2123" spans="19:19" x14ac:dyDescent="0.3">
      <c r="S2123" s="6"/>
    </row>
    <row r="2124" spans="19:19" x14ac:dyDescent="0.3">
      <c r="S2124" s="6"/>
    </row>
    <row r="2125" spans="19:19" x14ac:dyDescent="0.3">
      <c r="S2125" s="6"/>
    </row>
    <row r="2126" spans="19:19" x14ac:dyDescent="0.3">
      <c r="S2126" s="6"/>
    </row>
    <row r="2127" spans="19:19" x14ac:dyDescent="0.3">
      <c r="S2127" s="6"/>
    </row>
    <row r="2128" spans="19:19" x14ac:dyDescent="0.3">
      <c r="S2128" s="6"/>
    </row>
    <row r="2129" spans="19:19" x14ac:dyDescent="0.3">
      <c r="S2129" s="6"/>
    </row>
    <row r="2130" spans="19:19" x14ac:dyDescent="0.3">
      <c r="S2130" s="6"/>
    </row>
    <row r="2131" spans="19:19" x14ac:dyDescent="0.3">
      <c r="S2131" s="6"/>
    </row>
    <row r="2132" spans="19:19" x14ac:dyDescent="0.3">
      <c r="S2132" s="6"/>
    </row>
    <row r="2133" spans="19:19" x14ac:dyDescent="0.3">
      <c r="S2133" s="6"/>
    </row>
    <row r="2134" spans="19:19" x14ac:dyDescent="0.3">
      <c r="S2134" s="6"/>
    </row>
    <row r="2135" spans="19:19" x14ac:dyDescent="0.3">
      <c r="S2135" s="6"/>
    </row>
    <row r="2136" spans="19:19" x14ac:dyDescent="0.3">
      <c r="S2136" s="6"/>
    </row>
    <row r="2137" spans="19:19" x14ac:dyDescent="0.3">
      <c r="S2137" s="6"/>
    </row>
    <row r="2138" spans="19:19" x14ac:dyDescent="0.3">
      <c r="S2138" s="6"/>
    </row>
    <row r="2139" spans="19:19" x14ac:dyDescent="0.3">
      <c r="S2139" s="6"/>
    </row>
    <row r="2140" spans="19:19" x14ac:dyDescent="0.3">
      <c r="S2140" s="6"/>
    </row>
    <row r="2141" spans="19:19" x14ac:dyDescent="0.3">
      <c r="S2141" s="6"/>
    </row>
    <row r="2142" spans="19:19" x14ac:dyDescent="0.3">
      <c r="S2142" s="6"/>
    </row>
    <row r="2143" spans="19:19" x14ac:dyDescent="0.3">
      <c r="S2143" s="6"/>
    </row>
    <row r="2144" spans="19:19" x14ac:dyDescent="0.3">
      <c r="S2144" s="6"/>
    </row>
    <row r="2145" spans="19:19" x14ac:dyDescent="0.3">
      <c r="S2145" s="6"/>
    </row>
    <row r="2146" spans="19:19" x14ac:dyDescent="0.3">
      <c r="S2146" s="6"/>
    </row>
    <row r="2147" spans="19:19" x14ac:dyDescent="0.3">
      <c r="S2147" s="6"/>
    </row>
    <row r="2148" spans="19:19" x14ac:dyDescent="0.3">
      <c r="S2148" s="6"/>
    </row>
    <row r="2149" spans="19:19" x14ac:dyDescent="0.3">
      <c r="S2149" s="6"/>
    </row>
    <row r="2150" spans="19:19" x14ac:dyDescent="0.3">
      <c r="S2150" s="6"/>
    </row>
    <row r="2151" spans="19:19" x14ac:dyDescent="0.3">
      <c r="S2151" s="6"/>
    </row>
    <row r="2152" spans="19:19" x14ac:dyDescent="0.3">
      <c r="S2152" s="6"/>
    </row>
    <row r="2153" spans="19:19" x14ac:dyDescent="0.3">
      <c r="S2153" s="6"/>
    </row>
    <row r="2154" spans="19:19" x14ac:dyDescent="0.3">
      <c r="S2154" s="6"/>
    </row>
    <row r="2155" spans="19:19" x14ac:dyDescent="0.3">
      <c r="S2155" s="6"/>
    </row>
    <row r="2156" spans="19:19" x14ac:dyDescent="0.3">
      <c r="S2156" s="6"/>
    </row>
    <row r="2157" spans="19:19" x14ac:dyDescent="0.3">
      <c r="S2157" s="6"/>
    </row>
    <row r="2158" spans="19:19" x14ac:dyDescent="0.3">
      <c r="S2158" s="6"/>
    </row>
    <row r="2159" spans="19:19" x14ac:dyDescent="0.3">
      <c r="S2159" s="6"/>
    </row>
    <row r="2160" spans="19:19" x14ac:dyDescent="0.3">
      <c r="S2160" s="6"/>
    </row>
    <row r="2161" spans="19:19" x14ac:dyDescent="0.3">
      <c r="S2161" s="6"/>
    </row>
    <row r="2162" spans="19:19" x14ac:dyDescent="0.3">
      <c r="S2162" s="6"/>
    </row>
    <row r="2163" spans="19:19" x14ac:dyDescent="0.3">
      <c r="S2163" s="6"/>
    </row>
    <row r="2164" spans="19:19" x14ac:dyDescent="0.3">
      <c r="S2164" s="6"/>
    </row>
    <row r="2165" spans="19:19" x14ac:dyDescent="0.3">
      <c r="S2165" s="6"/>
    </row>
    <row r="2166" spans="19:19" x14ac:dyDescent="0.3">
      <c r="S2166" s="6"/>
    </row>
    <row r="2167" spans="19:19" x14ac:dyDescent="0.3">
      <c r="S2167" s="6"/>
    </row>
    <row r="2168" spans="19:19" x14ac:dyDescent="0.3">
      <c r="S2168" s="6"/>
    </row>
    <row r="2169" spans="19:19" x14ac:dyDescent="0.3">
      <c r="S2169" s="6"/>
    </row>
    <row r="2170" spans="19:19" x14ac:dyDescent="0.3">
      <c r="S2170" s="6"/>
    </row>
    <row r="2171" spans="19:19" x14ac:dyDescent="0.3">
      <c r="S2171" s="6"/>
    </row>
    <row r="2172" spans="19:19" x14ac:dyDescent="0.3">
      <c r="S2172" s="6"/>
    </row>
    <row r="2173" spans="19:19" x14ac:dyDescent="0.3">
      <c r="S2173" s="6"/>
    </row>
    <row r="2174" spans="19:19" x14ac:dyDescent="0.3">
      <c r="S2174" s="6"/>
    </row>
    <row r="2175" spans="19:19" x14ac:dyDescent="0.3">
      <c r="S2175" s="6"/>
    </row>
    <row r="2176" spans="19:19" x14ac:dyDescent="0.3">
      <c r="S2176" s="6"/>
    </row>
    <row r="2177" spans="19:19" x14ac:dyDescent="0.3">
      <c r="S2177" s="6"/>
    </row>
    <row r="2178" spans="19:19" x14ac:dyDescent="0.3">
      <c r="S2178" s="6"/>
    </row>
    <row r="2179" spans="19:19" x14ac:dyDescent="0.3">
      <c r="S2179" s="6"/>
    </row>
    <row r="2180" spans="19:19" x14ac:dyDescent="0.3">
      <c r="S2180" s="6"/>
    </row>
    <row r="2181" spans="19:19" x14ac:dyDescent="0.3">
      <c r="S2181" s="6"/>
    </row>
    <row r="2182" spans="19:19" x14ac:dyDescent="0.3">
      <c r="S2182" s="6"/>
    </row>
    <row r="2183" spans="19:19" x14ac:dyDescent="0.3">
      <c r="S2183" s="6"/>
    </row>
    <row r="2184" spans="19:19" x14ac:dyDescent="0.3">
      <c r="S2184" s="6"/>
    </row>
    <row r="2185" spans="19:19" x14ac:dyDescent="0.3">
      <c r="S2185" s="6"/>
    </row>
    <row r="2186" spans="19:19" x14ac:dyDescent="0.3">
      <c r="S2186" s="6"/>
    </row>
    <row r="2187" spans="19:19" x14ac:dyDescent="0.3">
      <c r="S2187" s="6"/>
    </row>
    <row r="2188" spans="19:19" x14ac:dyDescent="0.3">
      <c r="S2188" s="6"/>
    </row>
    <row r="2189" spans="19:19" x14ac:dyDescent="0.3">
      <c r="S2189" s="6"/>
    </row>
    <row r="2190" spans="19:19" x14ac:dyDescent="0.3">
      <c r="S2190" s="6"/>
    </row>
    <row r="2191" spans="19:19" x14ac:dyDescent="0.3">
      <c r="S2191" s="6"/>
    </row>
    <row r="2192" spans="19:19" x14ac:dyDescent="0.3">
      <c r="S2192" s="6"/>
    </row>
    <row r="2193" spans="19:19" x14ac:dyDescent="0.3">
      <c r="S2193" s="6"/>
    </row>
    <row r="2194" spans="19:19" x14ac:dyDescent="0.3">
      <c r="S2194" s="6"/>
    </row>
    <row r="2195" spans="19:19" x14ac:dyDescent="0.3">
      <c r="S2195" s="6"/>
    </row>
    <row r="2196" spans="19:19" x14ac:dyDescent="0.3">
      <c r="S2196" s="6"/>
    </row>
    <row r="2197" spans="19:19" x14ac:dyDescent="0.3">
      <c r="S2197" s="6"/>
    </row>
    <row r="2198" spans="19:19" x14ac:dyDescent="0.3">
      <c r="S2198" s="6"/>
    </row>
    <row r="2199" spans="19:19" x14ac:dyDescent="0.3">
      <c r="S2199" s="6"/>
    </row>
    <row r="2200" spans="19:19" x14ac:dyDescent="0.3">
      <c r="S2200" s="6"/>
    </row>
    <row r="2201" spans="19:19" x14ac:dyDescent="0.3">
      <c r="S2201" s="6"/>
    </row>
    <row r="2202" spans="19:19" x14ac:dyDescent="0.3">
      <c r="S2202" s="6"/>
    </row>
    <row r="2203" spans="19:19" x14ac:dyDescent="0.3">
      <c r="S2203" s="6"/>
    </row>
    <row r="2204" spans="19:19" x14ac:dyDescent="0.3">
      <c r="S2204" s="6"/>
    </row>
    <row r="2205" spans="19:19" x14ac:dyDescent="0.3">
      <c r="S2205" s="6"/>
    </row>
    <row r="2206" spans="19:19" x14ac:dyDescent="0.3">
      <c r="S2206" s="6"/>
    </row>
    <row r="2207" spans="19:19" x14ac:dyDescent="0.3">
      <c r="S2207" s="6"/>
    </row>
    <row r="2208" spans="19:19" x14ac:dyDescent="0.3">
      <c r="S2208" s="6"/>
    </row>
    <row r="2209" spans="19:19" x14ac:dyDescent="0.3">
      <c r="S2209" s="6"/>
    </row>
    <row r="2210" spans="19:19" x14ac:dyDescent="0.3">
      <c r="S2210" s="6"/>
    </row>
    <row r="2211" spans="19:19" x14ac:dyDescent="0.3">
      <c r="S2211" s="6"/>
    </row>
    <row r="2212" spans="19:19" x14ac:dyDescent="0.3">
      <c r="S2212" s="6"/>
    </row>
    <row r="2213" spans="19:19" x14ac:dyDescent="0.3">
      <c r="S2213" s="6"/>
    </row>
    <row r="2214" spans="19:19" x14ac:dyDescent="0.3">
      <c r="S2214" s="6"/>
    </row>
    <row r="2215" spans="19:19" x14ac:dyDescent="0.3">
      <c r="S2215" s="6"/>
    </row>
    <row r="2216" spans="19:19" x14ac:dyDescent="0.3">
      <c r="S2216" s="6"/>
    </row>
    <row r="2217" spans="19:19" x14ac:dyDescent="0.3">
      <c r="S2217" s="6"/>
    </row>
    <row r="2218" spans="19:19" x14ac:dyDescent="0.3">
      <c r="S2218" s="6"/>
    </row>
    <row r="2219" spans="19:19" x14ac:dyDescent="0.3">
      <c r="S2219" s="6"/>
    </row>
    <row r="2220" spans="19:19" x14ac:dyDescent="0.3">
      <c r="S2220" s="6"/>
    </row>
    <row r="2221" spans="19:19" x14ac:dyDescent="0.3">
      <c r="S2221" s="6"/>
    </row>
    <row r="2222" spans="19:19" x14ac:dyDescent="0.3">
      <c r="S2222" s="6"/>
    </row>
    <row r="2223" spans="19:19" x14ac:dyDescent="0.3">
      <c r="S2223" s="6"/>
    </row>
    <row r="2224" spans="19:19" x14ac:dyDescent="0.3">
      <c r="S2224" s="6"/>
    </row>
    <row r="2225" spans="19:19" x14ac:dyDescent="0.3">
      <c r="S2225" s="6"/>
    </row>
    <row r="2226" spans="19:19" x14ac:dyDescent="0.3">
      <c r="S2226" s="6"/>
    </row>
    <row r="2227" spans="19:19" x14ac:dyDescent="0.3">
      <c r="S2227" s="6"/>
    </row>
    <row r="2228" spans="19:19" x14ac:dyDescent="0.3">
      <c r="S2228" s="6"/>
    </row>
    <row r="2229" spans="19:19" x14ac:dyDescent="0.3">
      <c r="S2229" s="6"/>
    </row>
    <row r="2230" spans="19:19" x14ac:dyDescent="0.3">
      <c r="S2230" s="6"/>
    </row>
    <row r="2231" spans="19:19" x14ac:dyDescent="0.3">
      <c r="S2231" s="6"/>
    </row>
    <row r="2232" spans="19:19" x14ac:dyDescent="0.3">
      <c r="S2232" s="6"/>
    </row>
    <row r="2233" spans="19:19" x14ac:dyDescent="0.3">
      <c r="S2233" s="6"/>
    </row>
    <row r="2234" spans="19:19" x14ac:dyDescent="0.3">
      <c r="S2234" s="6"/>
    </row>
    <row r="2235" spans="19:19" x14ac:dyDescent="0.3">
      <c r="S2235" s="6"/>
    </row>
    <row r="2236" spans="19:19" x14ac:dyDescent="0.3">
      <c r="S2236" s="6"/>
    </row>
    <row r="2237" spans="19:19" x14ac:dyDescent="0.3">
      <c r="S2237" s="6"/>
    </row>
    <row r="2238" spans="19:19" x14ac:dyDescent="0.3">
      <c r="S2238" s="6"/>
    </row>
    <row r="2239" spans="19:19" x14ac:dyDescent="0.3">
      <c r="S2239" s="6"/>
    </row>
    <row r="2240" spans="19:19" x14ac:dyDescent="0.3">
      <c r="S2240" s="6"/>
    </row>
    <row r="2241" spans="19:19" x14ac:dyDescent="0.3">
      <c r="S2241" s="6"/>
    </row>
    <row r="2242" spans="19:19" x14ac:dyDescent="0.3">
      <c r="S2242" s="6"/>
    </row>
    <row r="2243" spans="19:19" x14ac:dyDescent="0.3">
      <c r="S2243" s="6"/>
    </row>
    <row r="2244" spans="19:19" x14ac:dyDescent="0.3">
      <c r="S2244" s="6"/>
    </row>
    <row r="2245" spans="19:19" x14ac:dyDescent="0.3">
      <c r="S2245" s="6"/>
    </row>
    <row r="2246" spans="19:19" x14ac:dyDescent="0.3">
      <c r="S2246" s="6"/>
    </row>
    <row r="2247" spans="19:19" x14ac:dyDescent="0.3">
      <c r="S2247" s="6"/>
    </row>
    <row r="2248" spans="19:19" x14ac:dyDescent="0.3">
      <c r="S2248" s="6"/>
    </row>
    <row r="2249" spans="19:19" x14ac:dyDescent="0.3">
      <c r="S2249" s="6"/>
    </row>
    <row r="2250" spans="19:19" x14ac:dyDescent="0.3">
      <c r="S2250" s="6"/>
    </row>
    <row r="2251" spans="19:19" x14ac:dyDescent="0.3">
      <c r="S2251" s="6"/>
    </row>
    <row r="2252" spans="19:19" x14ac:dyDescent="0.3">
      <c r="S2252" s="6"/>
    </row>
    <row r="2253" spans="19:19" x14ac:dyDescent="0.3">
      <c r="S2253" s="6"/>
    </row>
    <row r="2254" spans="19:19" x14ac:dyDescent="0.3">
      <c r="S2254" s="6"/>
    </row>
    <row r="2255" spans="19:19" x14ac:dyDescent="0.3">
      <c r="S2255" s="6"/>
    </row>
    <row r="2256" spans="19:19" x14ac:dyDescent="0.3">
      <c r="S2256" s="6"/>
    </row>
    <row r="2257" spans="19:19" x14ac:dyDescent="0.3">
      <c r="S2257" s="6"/>
    </row>
    <row r="2258" spans="19:19" x14ac:dyDescent="0.3">
      <c r="S2258" s="6"/>
    </row>
    <row r="2259" spans="19:19" x14ac:dyDescent="0.3">
      <c r="S2259" s="6"/>
    </row>
    <row r="2260" spans="19:19" x14ac:dyDescent="0.3">
      <c r="S2260" s="6"/>
    </row>
    <row r="2261" spans="19:19" x14ac:dyDescent="0.3">
      <c r="S2261" s="6"/>
    </row>
    <row r="2262" spans="19:19" x14ac:dyDescent="0.3">
      <c r="S2262" s="6"/>
    </row>
    <row r="2263" spans="19:19" x14ac:dyDescent="0.3">
      <c r="S2263" s="6"/>
    </row>
    <row r="2264" spans="19:19" x14ac:dyDescent="0.3">
      <c r="S2264" s="6"/>
    </row>
    <row r="2265" spans="19:19" x14ac:dyDescent="0.3">
      <c r="S2265" s="6"/>
    </row>
    <row r="2266" spans="19:19" x14ac:dyDescent="0.3">
      <c r="S2266" s="6"/>
    </row>
    <row r="2267" spans="19:19" x14ac:dyDescent="0.3">
      <c r="S2267" s="6"/>
    </row>
    <row r="2268" spans="19:19" x14ac:dyDescent="0.3">
      <c r="S2268" s="6"/>
    </row>
    <row r="2269" spans="19:19" x14ac:dyDescent="0.3">
      <c r="S2269" s="6"/>
    </row>
    <row r="2270" spans="19:19" x14ac:dyDescent="0.3">
      <c r="S2270" s="6"/>
    </row>
    <row r="2271" spans="19:19" x14ac:dyDescent="0.3">
      <c r="S2271" s="6"/>
    </row>
    <row r="2272" spans="19:19" x14ac:dyDescent="0.3">
      <c r="S2272" s="6"/>
    </row>
    <row r="2273" spans="19:19" x14ac:dyDescent="0.3">
      <c r="S2273" s="6"/>
    </row>
    <row r="2274" spans="19:19" x14ac:dyDescent="0.3">
      <c r="S2274" s="6"/>
    </row>
    <row r="2275" spans="19:19" x14ac:dyDescent="0.3">
      <c r="S2275" s="6"/>
    </row>
    <row r="2276" spans="19:19" x14ac:dyDescent="0.3">
      <c r="S2276" s="6"/>
    </row>
    <row r="2277" spans="19:19" x14ac:dyDescent="0.3">
      <c r="S2277" s="6"/>
    </row>
    <row r="2278" spans="19:19" x14ac:dyDescent="0.3">
      <c r="S2278" s="6"/>
    </row>
    <row r="2279" spans="19:19" x14ac:dyDescent="0.3">
      <c r="S2279" s="6"/>
    </row>
    <row r="2280" spans="19:19" x14ac:dyDescent="0.3">
      <c r="S2280" s="6"/>
    </row>
    <row r="2281" spans="19:19" x14ac:dyDescent="0.3">
      <c r="S2281" s="6"/>
    </row>
    <row r="2282" spans="19:19" x14ac:dyDescent="0.3">
      <c r="S2282" s="6"/>
    </row>
    <row r="2283" spans="19:19" x14ac:dyDescent="0.3">
      <c r="S2283" s="6"/>
    </row>
    <row r="2284" spans="19:19" x14ac:dyDescent="0.3">
      <c r="S2284" s="6"/>
    </row>
    <row r="2285" spans="19:19" x14ac:dyDescent="0.3">
      <c r="S2285" s="6"/>
    </row>
    <row r="2286" spans="19:19" x14ac:dyDescent="0.3">
      <c r="S2286" s="6"/>
    </row>
    <row r="2287" spans="19:19" x14ac:dyDescent="0.3">
      <c r="S2287" s="6"/>
    </row>
    <row r="2288" spans="19:19" x14ac:dyDescent="0.3">
      <c r="S2288" s="6"/>
    </row>
    <row r="2289" spans="19:19" x14ac:dyDescent="0.3">
      <c r="S2289" s="6"/>
    </row>
    <row r="2290" spans="19:19" x14ac:dyDescent="0.3">
      <c r="S2290" s="6"/>
    </row>
    <row r="2291" spans="19:19" x14ac:dyDescent="0.3">
      <c r="S2291" s="6"/>
    </row>
    <row r="2292" spans="19:19" x14ac:dyDescent="0.3">
      <c r="S2292" s="6"/>
    </row>
    <row r="2293" spans="19:19" x14ac:dyDescent="0.3">
      <c r="S2293" s="6"/>
    </row>
    <row r="2294" spans="19:19" x14ac:dyDescent="0.3">
      <c r="S2294" s="6"/>
    </row>
    <row r="2295" spans="19:19" x14ac:dyDescent="0.3">
      <c r="S2295" s="6"/>
    </row>
    <row r="2296" spans="19:19" x14ac:dyDescent="0.3">
      <c r="S2296" s="6"/>
    </row>
    <row r="2297" spans="19:19" x14ac:dyDescent="0.3">
      <c r="S2297" s="6"/>
    </row>
    <row r="2298" spans="19:19" x14ac:dyDescent="0.3">
      <c r="S2298" s="6"/>
    </row>
    <row r="2299" spans="19:19" x14ac:dyDescent="0.3">
      <c r="S2299" s="6"/>
    </row>
    <row r="2300" spans="19:19" x14ac:dyDescent="0.3">
      <c r="S2300" s="6"/>
    </row>
    <row r="2301" spans="19:19" x14ac:dyDescent="0.3">
      <c r="S2301" s="6"/>
    </row>
    <row r="2302" spans="19:19" x14ac:dyDescent="0.3">
      <c r="S2302" s="6"/>
    </row>
    <row r="2303" spans="19:19" x14ac:dyDescent="0.3">
      <c r="S2303" s="6"/>
    </row>
    <row r="2304" spans="19:19" x14ac:dyDescent="0.3">
      <c r="S2304" s="6"/>
    </row>
    <row r="2305" spans="19:19" x14ac:dyDescent="0.3">
      <c r="S2305" s="6"/>
    </row>
    <row r="2306" spans="19:19" x14ac:dyDescent="0.3">
      <c r="S2306" s="6"/>
    </row>
    <row r="2307" spans="19:19" x14ac:dyDescent="0.3">
      <c r="S2307" s="6"/>
    </row>
    <row r="2308" spans="19:19" x14ac:dyDescent="0.3">
      <c r="S2308" s="6"/>
    </row>
    <row r="2309" spans="19:19" x14ac:dyDescent="0.3">
      <c r="S2309" s="6"/>
    </row>
    <row r="2310" spans="19:19" x14ac:dyDescent="0.3">
      <c r="S2310" s="6"/>
    </row>
    <row r="2311" spans="19:19" x14ac:dyDescent="0.3">
      <c r="S2311" s="6"/>
    </row>
    <row r="2312" spans="19:19" x14ac:dyDescent="0.3">
      <c r="S2312" s="6"/>
    </row>
    <row r="2313" spans="19:19" x14ac:dyDescent="0.3">
      <c r="S2313" s="6"/>
    </row>
    <row r="2314" spans="19:19" x14ac:dyDescent="0.3">
      <c r="S2314" s="6"/>
    </row>
    <row r="2315" spans="19:19" x14ac:dyDescent="0.3">
      <c r="S2315" s="6"/>
    </row>
    <row r="2316" spans="19:19" x14ac:dyDescent="0.3">
      <c r="S2316" s="6"/>
    </row>
    <row r="2317" spans="19:19" x14ac:dyDescent="0.3">
      <c r="S2317" s="6"/>
    </row>
    <row r="2318" spans="19:19" x14ac:dyDescent="0.3">
      <c r="S2318" s="6"/>
    </row>
    <row r="2319" spans="19:19" x14ac:dyDescent="0.3">
      <c r="S2319" s="6"/>
    </row>
    <row r="2320" spans="19:19" x14ac:dyDescent="0.3">
      <c r="S2320" s="6"/>
    </row>
    <row r="2321" spans="19:19" x14ac:dyDescent="0.3">
      <c r="S2321" s="6"/>
    </row>
    <row r="2322" spans="19:19" x14ac:dyDescent="0.3">
      <c r="S2322" s="6"/>
    </row>
    <row r="2323" spans="19:19" x14ac:dyDescent="0.3">
      <c r="S2323" s="6"/>
    </row>
    <row r="2324" spans="19:19" x14ac:dyDescent="0.3">
      <c r="S2324" s="6"/>
    </row>
    <row r="2325" spans="19:19" x14ac:dyDescent="0.3">
      <c r="S2325" s="6"/>
    </row>
    <row r="2326" spans="19:19" x14ac:dyDescent="0.3">
      <c r="S2326" s="6"/>
    </row>
    <row r="2327" spans="19:19" x14ac:dyDescent="0.3">
      <c r="S2327" s="6"/>
    </row>
    <row r="2328" spans="19:19" x14ac:dyDescent="0.3">
      <c r="S2328" s="6"/>
    </row>
    <row r="2329" spans="19:19" x14ac:dyDescent="0.3">
      <c r="S2329" s="6"/>
    </row>
    <row r="2330" spans="19:19" x14ac:dyDescent="0.3">
      <c r="S2330" s="6"/>
    </row>
    <row r="2331" spans="19:19" x14ac:dyDescent="0.3">
      <c r="S2331" s="6"/>
    </row>
    <row r="2332" spans="19:19" x14ac:dyDescent="0.3">
      <c r="S2332" s="6"/>
    </row>
    <row r="2333" spans="19:19" x14ac:dyDescent="0.3">
      <c r="S2333" s="6"/>
    </row>
    <row r="2334" spans="19:19" x14ac:dyDescent="0.3">
      <c r="S2334" s="6"/>
    </row>
    <row r="2335" spans="19:19" x14ac:dyDescent="0.3">
      <c r="S2335" s="6"/>
    </row>
    <row r="2336" spans="19:19" x14ac:dyDescent="0.3">
      <c r="S2336" s="6"/>
    </row>
    <row r="2337" spans="19:19" x14ac:dyDescent="0.3">
      <c r="S2337" s="6"/>
    </row>
    <row r="2338" spans="19:19" x14ac:dyDescent="0.3">
      <c r="S2338" s="6"/>
    </row>
    <row r="2339" spans="19:19" x14ac:dyDescent="0.3">
      <c r="S2339" s="6"/>
    </row>
    <row r="2340" spans="19:19" x14ac:dyDescent="0.3">
      <c r="S2340" s="6"/>
    </row>
    <row r="2341" spans="19:19" x14ac:dyDescent="0.3">
      <c r="S2341" s="6"/>
    </row>
    <row r="2342" spans="19:19" x14ac:dyDescent="0.3">
      <c r="S2342" s="6"/>
    </row>
    <row r="2343" spans="19:19" x14ac:dyDescent="0.3">
      <c r="S2343" s="6"/>
    </row>
    <row r="2344" spans="19:19" x14ac:dyDescent="0.3">
      <c r="S2344" s="6"/>
    </row>
    <row r="2345" spans="19:19" x14ac:dyDescent="0.3">
      <c r="S2345" s="6"/>
    </row>
    <row r="2346" spans="19:19" x14ac:dyDescent="0.3">
      <c r="S2346" s="6"/>
    </row>
    <row r="2347" spans="19:19" x14ac:dyDescent="0.3">
      <c r="S2347" s="6"/>
    </row>
    <row r="2348" spans="19:19" x14ac:dyDescent="0.3">
      <c r="S2348" s="6"/>
    </row>
    <row r="2349" spans="19:19" x14ac:dyDescent="0.3">
      <c r="S2349" s="6"/>
    </row>
    <row r="2350" spans="19:19" x14ac:dyDescent="0.3">
      <c r="S2350" s="6"/>
    </row>
    <row r="2351" spans="19:19" x14ac:dyDescent="0.3">
      <c r="S2351" s="6"/>
    </row>
    <row r="2352" spans="19:19" x14ac:dyDescent="0.3">
      <c r="S2352" s="6"/>
    </row>
    <row r="2353" spans="19:19" x14ac:dyDescent="0.3">
      <c r="S2353" s="6"/>
    </row>
    <row r="2354" spans="19:19" x14ac:dyDescent="0.3">
      <c r="S2354" s="6"/>
    </row>
    <row r="2355" spans="19:19" x14ac:dyDescent="0.3">
      <c r="S2355" s="6"/>
    </row>
    <row r="2356" spans="19:19" x14ac:dyDescent="0.3">
      <c r="S2356" s="6"/>
    </row>
    <row r="2357" spans="19:19" x14ac:dyDescent="0.3">
      <c r="S2357" s="6"/>
    </row>
    <row r="2358" spans="19:19" x14ac:dyDescent="0.3">
      <c r="S2358" s="6"/>
    </row>
    <row r="2359" spans="19:19" x14ac:dyDescent="0.3">
      <c r="S2359" s="6"/>
    </row>
    <row r="2360" spans="19:19" x14ac:dyDescent="0.3">
      <c r="S2360" s="6"/>
    </row>
    <row r="2361" spans="19:19" x14ac:dyDescent="0.3">
      <c r="S2361" s="6"/>
    </row>
    <row r="2362" spans="19:19" x14ac:dyDescent="0.3">
      <c r="S2362" s="6"/>
    </row>
    <row r="2363" spans="19:19" x14ac:dyDescent="0.3">
      <c r="S2363" s="6"/>
    </row>
    <row r="2364" spans="19:19" x14ac:dyDescent="0.3">
      <c r="S2364" s="6"/>
    </row>
    <row r="2365" spans="19:19" x14ac:dyDescent="0.3">
      <c r="S2365" s="6"/>
    </row>
    <row r="2366" spans="19:19" x14ac:dyDescent="0.3">
      <c r="S2366" s="6"/>
    </row>
    <row r="2367" spans="19:19" x14ac:dyDescent="0.3">
      <c r="S2367" s="6"/>
    </row>
    <row r="2368" spans="19:19" x14ac:dyDescent="0.3">
      <c r="S2368" s="6"/>
    </row>
    <row r="2369" spans="19:19" x14ac:dyDescent="0.3">
      <c r="S2369" s="6"/>
    </row>
    <row r="2370" spans="19:19" x14ac:dyDescent="0.3">
      <c r="S2370" s="6"/>
    </row>
    <row r="2371" spans="19:19" x14ac:dyDescent="0.3">
      <c r="S2371" s="6"/>
    </row>
    <row r="2372" spans="19:19" x14ac:dyDescent="0.3">
      <c r="S2372" s="6"/>
    </row>
    <row r="2373" spans="19:19" x14ac:dyDescent="0.3">
      <c r="S2373" s="6"/>
    </row>
    <row r="2374" spans="19:19" x14ac:dyDescent="0.3">
      <c r="S2374" s="6"/>
    </row>
    <row r="2375" spans="19:19" x14ac:dyDescent="0.3">
      <c r="S2375" s="6"/>
    </row>
    <row r="2376" spans="19:19" x14ac:dyDescent="0.3">
      <c r="S2376" s="6"/>
    </row>
    <row r="2377" spans="19:19" x14ac:dyDescent="0.3">
      <c r="S2377" s="6"/>
    </row>
    <row r="2378" spans="19:19" x14ac:dyDescent="0.3">
      <c r="S2378" s="6"/>
    </row>
    <row r="2379" spans="19:19" x14ac:dyDescent="0.3">
      <c r="S2379" s="6"/>
    </row>
    <row r="2380" spans="19:19" x14ac:dyDescent="0.3">
      <c r="S2380" s="6"/>
    </row>
    <row r="2381" spans="19:19" x14ac:dyDescent="0.3">
      <c r="S2381" s="6"/>
    </row>
    <row r="2382" spans="19:19" x14ac:dyDescent="0.3">
      <c r="S2382" s="6"/>
    </row>
    <row r="2383" spans="19:19" x14ac:dyDescent="0.3">
      <c r="S2383" s="6"/>
    </row>
    <row r="2384" spans="19:19" x14ac:dyDescent="0.3">
      <c r="S2384" s="6"/>
    </row>
    <row r="2385" spans="19:19" x14ac:dyDescent="0.3">
      <c r="S2385" s="6"/>
    </row>
    <row r="2386" spans="19:19" x14ac:dyDescent="0.3">
      <c r="S2386" s="6"/>
    </row>
    <row r="2387" spans="19:19" x14ac:dyDescent="0.3">
      <c r="S2387" s="6"/>
    </row>
    <row r="2388" spans="19:19" x14ac:dyDescent="0.3">
      <c r="S2388" s="6"/>
    </row>
    <row r="2389" spans="19:19" x14ac:dyDescent="0.3">
      <c r="S2389" s="6"/>
    </row>
    <row r="2390" spans="19:19" x14ac:dyDescent="0.3">
      <c r="S2390" s="6"/>
    </row>
    <row r="2391" spans="19:19" x14ac:dyDescent="0.3">
      <c r="S2391" s="6"/>
    </row>
    <row r="2392" spans="19:19" x14ac:dyDescent="0.3">
      <c r="S2392" s="6"/>
    </row>
    <row r="2393" spans="19:19" x14ac:dyDescent="0.3">
      <c r="S2393" s="6"/>
    </row>
    <row r="2394" spans="19:19" x14ac:dyDescent="0.3">
      <c r="S2394" s="6"/>
    </row>
    <row r="2395" spans="19:19" x14ac:dyDescent="0.3">
      <c r="S2395" s="6"/>
    </row>
    <row r="2396" spans="19:19" x14ac:dyDescent="0.3">
      <c r="S2396" s="6"/>
    </row>
    <row r="2397" spans="19:19" x14ac:dyDescent="0.3">
      <c r="S2397" s="6"/>
    </row>
    <row r="2398" spans="19:19" x14ac:dyDescent="0.3">
      <c r="S2398" s="6"/>
    </row>
    <row r="2399" spans="19:19" x14ac:dyDescent="0.3">
      <c r="S2399" s="6"/>
    </row>
    <row r="2400" spans="19:19" x14ac:dyDescent="0.3">
      <c r="S2400" s="6"/>
    </row>
    <row r="2401" spans="19:19" x14ac:dyDescent="0.3">
      <c r="S2401" s="6"/>
    </row>
    <row r="2402" spans="19:19" x14ac:dyDescent="0.3">
      <c r="S2402" s="6"/>
    </row>
    <row r="2403" spans="19:19" x14ac:dyDescent="0.3">
      <c r="S2403" s="6"/>
    </row>
    <row r="2404" spans="19:19" x14ac:dyDescent="0.3">
      <c r="S2404" s="6"/>
    </row>
    <row r="2405" spans="19:19" x14ac:dyDescent="0.3">
      <c r="S2405" s="6"/>
    </row>
    <row r="2406" spans="19:19" x14ac:dyDescent="0.3">
      <c r="S2406" s="6"/>
    </row>
    <row r="2407" spans="19:19" x14ac:dyDescent="0.3">
      <c r="S2407" s="6"/>
    </row>
    <row r="2408" spans="19:19" x14ac:dyDescent="0.3">
      <c r="S2408" s="6"/>
    </row>
    <row r="2409" spans="19:19" x14ac:dyDescent="0.3">
      <c r="S2409" s="6"/>
    </row>
    <row r="2410" spans="19:19" x14ac:dyDescent="0.3">
      <c r="S2410" s="6"/>
    </row>
    <row r="2411" spans="19:19" x14ac:dyDescent="0.3">
      <c r="S2411" s="6"/>
    </row>
    <row r="2412" spans="19:19" x14ac:dyDescent="0.3">
      <c r="S2412" s="6"/>
    </row>
    <row r="2413" spans="19:19" x14ac:dyDescent="0.3">
      <c r="S2413" s="6"/>
    </row>
    <row r="2414" spans="19:19" x14ac:dyDescent="0.3">
      <c r="S2414" s="6"/>
    </row>
    <row r="2415" spans="19:19" x14ac:dyDescent="0.3">
      <c r="S2415" s="6"/>
    </row>
    <row r="2416" spans="19:19" x14ac:dyDescent="0.3">
      <c r="S2416" s="6"/>
    </row>
    <row r="2417" spans="19:19" x14ac:dyDescent="0.3">
      <c r="S2417" s="6"/>
    </row>
    <row r="2418" spans="19:19" x14ac:dyDescent="0.3">
      <c r="S2418" s="6"/>
    </row>
    <row r="2419" spans="19:19" x14ac:dyDescent="0.3">
      <c r="S2419" s="6"/>
    </row>
    <row r="2420" spans="19:19" x14ac:dyDescent="0.3">
      <c r="S2420" s="6"/>
    </row>
    <row r="2421" spans="19:19" x14ac:dyDescent="0.3">
      <c r="S2421" s="6"/>
    </row>
    <row r="2422" spans="19:19" x14ac:dyDescent="0.3">
      <c r="S2422" s="6"/>
    </row>
    <row r="2423" spans="19:19" x14ac:dyDescent="0.3">
      <c r="S2423" s="6"/>
    </row>
    <row r="2424" spans="19:19" x14ac:dyDescent="0.3">
      <c r="S2424" s="6"/>
    </row>
    <row r="2425" spans="19:19" x14ac:dyDescent="0.3">
      <c r="S2425" s="6"/>
    </row>
    <row r="2426" spans="19:19" x14ac:dyDescent="0.3">
      <c r="S2426" s="6"/>
    </row>
    <row r="2427" spans="19:19" x14ac:dyDescent="0.3">
      <c r="S2427" s="6"/>
    </row>
    <row r="2428" spans="19:19" x14ac:dyDescent="0.3">
      <c r="S2428" s="6"/>
    </row>
    <row r="2429" spans="19:19" x14ac:dyDescent="0.3">
      <c r="S2429" s="6"/>
    </row>
    <row r="2430" spans="19:19" x14ac:dyDescent="0.3">
      <c r="S2430" s="6"/>
    </row>
    <row r="2431" spans="19:19" x14ac:dyDescent="0.3">
      <c r="S2431" s="6"/>
    </row>
    <row r="2432" spans="19:19" x14ac:dyDescent="0.3">
      <c r="S2432" s="6"/>
    </row>
    <row r="2433" spans="19:19" x14ac:dyDescent="0.3">
      <c r="S2433" s="6"/>
    </row>
    <row r="2434" spans="19:19" x14ac:dyDescent="0.3">
      <c r="S2434" s="6"/>
    </row>
    <row r="2435" spans="19:19" x14ac:dyDescent="0.3">
      <c r="S2435" s="6"/>
    </row>
    <row r="2436" spans="19:19" x14ac:dyDescent="0.3">
      <c r="S2436" s="6"/>
    </row>
    <row r="2437" spans="19:19" x14ac:dyDescent="0.3">
      <c r="S2437" s="6"/>
    </row>
    <row r="2438" spans="19:19" x14ac:dyDescent="0.3">
      <c r="S2438" s="6"/>
    </row>
    <row r="2439" spans="19:19" x14ac:dyDescent="0.3">
      <c r="S2439" s="6"/>
    </row>
    <row r="2440" spans="19:19" x14ac:dyDescent="0.3">
      <c r="S2440" s="6"/>
    </row>
    <row r="2441" spans="19:19" x14ac:dyDescent="0.3">
      <c r="S2441" s="6"/>
    </row>
    <row r="2442" spans="19:19" x14ac:dyDescent="0.3">
      <c r="S2442" s="6"/>
    </row>
    <row r="2443" spans="19:19" x14ac:dyDescent="0.3">
      <c r="S2443" s="6"/>
    </row>
    <row r="2444" spans="19:19" x14ac:dyDescent="0.3">
      <c r="S2444" s="6"/>
    </row>
    <row r="2445" spans="19:19" x14ac:dyDescent="0.3">
      <c r="S2445" s="6"/>
    </row>
    <row r="2446" spans="19:19" x14ac:dyDescent="0.3">
      <c r="S2446" s="6"/>
    </row>
    <row r="2447" spans="19:19" x14ac:dyDescent="0.3">
      <c r="S2447" s="6"/>
    </row>
    <row r="2448" spans="19:19" x14ac:dyDescent="0.3">
      <c r="S2448" s="6"/>
    </row>
    <row r="2449" spans="19:19" x14ac:dyDescent="0.3">
      <c r="S2449" s="6"/>
    </row>
    <row r="2450" spans="19:19" x14ac:dyDescent="0.3">
      <c r="S2450" s="6"/>
    </row>
    <row r="2451" spans="19:19" x14ac:dyDescent="0.3">
      <c r="S2451" s="6"/>
    </row>
    <row r="2452" spans="19:19" x14ac:dyDescent="0.3">
      <c r="S2452" s="6"/>
    </row>
    <row r="2453" spans="19:19" x14ac:dyDescent="0.3">
      <c r="S2453" s="6"/>
    </row>
    <row r="2454" spans="19:19" x14ac:dyDescent="0.3">
      <c r="S2454" s="6"/>
    </row>
    <row r="2455" spans="19:19" x14ac:dyDescent="0.3">
      <c r="S2455" s="6"/>
    </row>
    <row r="2456" spans="19:19" x14ac:dyDescent="0.3">
      <c r="S2456" s="6"/>
    </row>
    <row r="2457" spans="19:19" x14ac:dyDescent="0.3">
      <c r="S2457" s="6"/>
    </row>
    <row r="2458" spans="19:19" x14ac:dyDescent="0.3">
      <c r="S2458" s="6"/>
    </row>
    <row r="2459" spans="19:19" x14ac:dyDescent="0.3">
      <c r="S2459" s="6"/>
    </row>
    <row r="2460" spans="19:19" x14ac:dyDescent="0.3">
      <c r="S2460" s="6"/>
    </row>
    <row r="2461" spans="19:19" x14ac:dyDescent="0.3">
      <c r="S2461" s="6"/>
    </row>
    <row r="2462" spans="19:19" x14ac:dyDescent="0.3">
      <c r="S2462" s="6"/>
    </row>
    <row r="2463" spans="19:19" x14ac:dyDescent="0.3">
      <c r="S2463" s="6"/>
    </row>
    <row r="2464" spans="19:19" x14ac:dyDescent="0.3">
      <c r="S2464" s="6"/>
    </row>
    <row r="2465" spans="19:19" x14ac:dyDescent="0.3">
      <c r="S2465" s="6"/>
    </row>
    <row r="2466" spans="19:19" x14ac:dyDescent="0.3">
      <c r="S2466" s="6"/>
    </row>
    <row r="2467" spans="19:19" x14ac:dyDescent="0.3">
      <c r="S2467" s="6"/>
    </row>
    <row r="2468" spans="19:19" x14ac:dyDescent="0.3">
      <c r="S2468" s="6"/>
    </row>
    <row r="2469" spans="19:19" x14ac:dyDescent="0.3">
      <c r="S2469" s="6"/>
    </row>
    <row r="2470" spans="19:19" x14ac:dyDescent="0.3">
      <c r="S2470" s="6"/>
    </row>
    <row r="2471" spans="19:19" x14ac:dyDescent="0.3">
      <c r="S2471" s="6"/>
    </row>
    <row r="2472" spans="19:19" x14ac:dyDescent="0.3">
      <c r="S2472" s="6"/>
    </row>
    <row r="2473" spans="19:19" x14ac:dyDescent="0.3">
      <c r="S2473" s="6"/>
    </row>
    <row r="2474" spans="19:19" x14ac:dyDescent="0.3">
      <c r="S2474" s="6"/>
    </row>
    <row r="2475" spans="19:19" x14ac:dyDescent="0.3">
      <c r="S2475" s="6"/>
    </row>
    <row r="2476" spans="19:19" x14ac:dyDescent="0.3">
      <c r="S2476" s="6"/>
    </row>
    <row r="2477" spans="19:19" x14ac:dyDescent="0.3">
      <c r="S2477" s="6"/>
    </row>
    <row r="2478" spans="19:19" x14ac:dyDescent="0.3">
      <c r="S2478" s="6"/>
    </row>
    <row r="2479" spans="19:19" x14ac:dyDescent="0.3">
      <c r="S2479" s="6"/>
    </row>
    <row r="2480" spans="19:19" x14ac:dyDescent="0.3">
      <c r="S2480" s="6"/>
    </row>
    <row r="2481" spans="19:19" x14ac:dyDescent="0.3">
      <c r="S2481" s="6"/>
    </row>
    <row r="2482" spans="19:19" x14ac:dyDescent="0.3">
      <c r="S2482" s="6"/>
    </row>
    <row r="2483" spans="19:19" x14ac:dyDescent="0.3">
      <c r="S2483" s="6"/>
    </row>
    <row r="2484" spans="19:19" x14ac:dyDescent="0.3">
      <c r="S2484" s="6"/>
    </row>
    <row r="2485" spans="19:19" x14ac:dyDescent="0.3">
      <c r="S2485" s="6"/>
    </row>
    <row r="2486" spans="19:19" x14ac:dyDescent="0.3">
      <c r="S2486" s="6"/>
    </row>
    <row r="2487" spans="19:19" x14ac:dyDescent="0.3">
      <c r="S2487" s="6"/>
    </row>
    <row r="2488" spans="19:19" x14ac:dyDescent="0.3">
      <c r="S2488" s="6"/>
    </row>
    <row r="2489" spans="19:19" x14ac:dyDescent="0.3">
      <c r="S2489" s="6"/>
    </row>
    <row r="2490" spans="19:19" x14ac:dyDescent="0.3">
      <c r="S2490" s="6"/>
    </row>
    <row r="2491" spans="19:19" x14ac:dyDescent="0.3">
      <c r="S2491" s="6"/>
    </row>
    <row r="2492" spans="19:19" x14ac:dyDescent="0.3">
      <c r="S2492" s="6"/>
    </row>
    <row r="2493" spans="19:19" x14ac:dyDescent="0.3">
      <c r="S2493" s="6"/>
    </row>
    <row r="2494" spans="19:19" x14ac:dyDescent="0.3">
      <c r="S2494" s="6"/>
    </row>
    <row r="2495" spans="19:19" x14ac:dyDescent="0.3">
      <c r="S2495" s="6"/>
    </row>
    <row r="2496" spans="19:19" x14ac:dyDescent="0.3">
      <c r="S2496" s="6"/>
    </row>
    <row r="2497" spans="19:19" x14ac:dyDescent="0.3">
      <c r="S2497" s="6"/>
    </row>
    <row r="2498" spans="19:19" x14ac:dyDescent="0.3">
      <c r="S2498" s="6"/>
    </row>
    <row r="2499" spans="19:19" x14ac:dyDescent="0.3">
      <c r="S2499" s="6"/>
    </row>
    <row r="2500" spans="19:19" x14ac:dyDescent="0.3">
      <c r="S2500" s="6"/>
    </row>
    <row r="2501" spans="19:19" x14ac:dyDescent="0.3">
      <c r="S2501" s="6"/>
    </row>
    <row r="2502" spans="19:19" x14ac:dyDescent="0.3">
      <c r="S2502" s="6"/>
    </row>
    <row r="2503" spans="19:19" x14ac:dyDescent="0.3">
      <c r="S2503" s="6"/>
    </row>
    <row r="2504" spans="19:19" x14ac:dyDescent="0.3">
      <c r="S2504" s="6"/>
    </row>
    <row r="2505" spans="19:19" x14ac:dyDescent="0.3">
      <c r="S2505" s="6"/>
    </row>
    <row r="2506" spans="19:19" x14ac:dyDescent="0.3">
      <c r="S2506" s="6"/>
    </row>
    <row r="2507" spans="19:19" x14ac:dyDescent="0.3">
      <c r="S2507" s="6"/>
    </row>
    <row r="2508" spans="19:19" x14ac:dyDescent="0.3">
      <c r="S2508" s="6"/>
    </row>
    <row r="2509" spans="19:19" x14ac:dyDescent="0.3">
      <c r="S2509" s="6"/>
    </row>
    <row r="2510" spans="19:19" x14ac:dyDescent="0.3">
      <c r="S2510" s="6"/>
    </row>
    <row r="2511" spans="19:19" x14ac:dyDescent="0.3">
      <c r="S2511" s="6"/>
    </row>
    <row r="2512" spans="19:19" x14ac:dyDescent="0.3">
      <c r="S2512" s="6"/>
    </row>
    <row r="2513" spans="19:19" x14ac:dyDescent="0.3">
      <c r="S2513" s="6"/>
    </row>
    <row r="2514" spans="19:19" x14ac:dyDescent="0.3">
      <c r="S2514" s="6"/>
    </row>
    <row r="2515" spans="19:19" x14ac:dyDescent="0.3">
      <c r="S2515" s="6"/>
    </row>
    <row r="2516" spans="19:19" x14ac:dyDescent="0.3">
      <c r="S2516" s="6"/>
    </row>
    <row r="2517" spans="19:19" x14ac:dyDescent="0.3">
      <c r="S2517" s="6"/>
    </row>
    <row r="2518" spans="19:19" x14ac:dyDescent="0.3">
      <c r="S2518" s="6"/>
    </row>
    <row r="2519" spans="19:19" x14ac:dyDescent="0.3">
      <c r="S2519" s="6"/>
    </row>
    <row r="2520" spans="19:19" x14ac:dyDescent="0.3">
      <c r="S2520" s="6"/>
    </row>
    <row r="2521" spans="19:19" x14ac:dyDescent="0.3">
      <c r="S2521" s="6"/>
    </row>
    <row r="2522" spans="19:19" x14ac:dyDescent="0.3">
      <c r="S2522" s="6"/>
    </row>
    <row r="2523" spans="19:19" x14ac:dyDescent="0.3">
      <c r="S2523" s="6"/>
    </row>
    <row r="2524" spans="19:19" x14ac:dyDescent="0.3">
      <c r="S2524" s="6"/>
    </row>
    <row r="2525" spans="19:19" x14ac:dyDescent="0.3">
      <c r="S2525" s="6"/>
    </row>
    <row r="2526" spans="19:19" x14ac:dyDescent="0.3">
      <c r="S2526" s="6"/>
    </row>
    <row r="2527" spans="19:19" x14ac:dyDescent="0.3">
      <c r="S2527" s="6"/>
    </row>
    <row r="2528" spans="19:19" x14ac:dyDescent="0.3">
      <c r="S2528" s="6"/>
    </row>
    <row r="2529" spans="19:19" x14ac:dyDescent="0.3">
      <c r="S2529" s="6"/>
    </row>
    <row r="2530" spans="19:19" x14ac:dyDescent="0.3">
      <c r="S2530" s="6"/>
    </row>
    <row r="2531" spans="19:19" x14ac:dyDescent="0.3">
      <c r="S2531" s="6"/>
    </row>
    <row r="2532" spans="19:19" x14ac:dyDescent="0.3">
      <c r="S2532" s="6"/>
    </row>
    <row r="2533" spans="19:19" x14ac:dyDescent="0.3">
      <c r="S2533" s="6"/>
    </row>
    <row r="2534" spans="19:19" x14ac:dyDescent="0.3">
      <c r="S2534" s="6"/>
    </row>
    <row r="2535" spans="19:19" x14ac:dyDescent="0.3">
      <c r="S2535" s="6"/>
    </row>
    <row r="2536" spans="19:19" x14ac:dyDescent="0.3">
      <c r="S2536" s="6"/>
    </row>
    <row r="2537" spans="19:19" x14ac:dyDescent="0.3">
      <c r="S2537" s="6"/>
    </row>
    <row r="2538" spans="19:19" x14ac:dyDescent="0.3">
      <c r="S2538" s="6"/>
    </row>
    <row r="2539" spans="19:19" x14ac:dyDescent="0.3">
      <c r="S2539" s="6"/>
    </row>
    <row r="2540" spans="19:19" x14ac:dyDescent="0.3">
      <c r="S2540" s="6"/>
    </row>
    <row r="2541" spans="19:19" x14ac:dyDescent="0.3">
      <c r="S2541" s="6"/>
    </row>
    <row r="2542" spans="19:19" x14ac:dyDescent="0.3">
      <c r="S2542" s="6"/>
    </row>
    <row r="2543" spans="19:19" x14ac:dyDescent="0.3">
      <c r="S2543" s="6"/>
    </row>
    <row r="2544" spans="19:19" x14ac:dyDescent="0.3">
      <c r="S2544" s="6"/>
    </row>
    <row r="2545" spans="19:19" x14ac:dyDescent="0.3">
      <c r="S2545" s="6"/>
    </row>
    <row r="2546" spans="19:19" x14ac:dyDescent="0.3">
      <c r="S2546" s="6"/>
    </row>
    <row r="2547" spans="19:19" x14ac:dyDescent="0.3">
      <c r="S2547" s="6"/>
    </row>
    <row r="2548" spans="19:19" x14ac:dyDescent="0.3">
      <c r="S2548" s="6"/>
    </row>
    <row r="2549" spans="19:19" x14ac:dyDescent="0.3">
      <c r="S2549" s="6"/>
    </row>
    <row r="2550" spans="19:19" x14ac:dyDescent="0.3">
      <c r="S2550" s="6"/>
    </row>
    <row r="2551" spans="19:19" x14ac:dyDescent="0.3">
      <c r="S2551" s="6"/>
    </row>
    <row r="2552" spans="19:19" x14ac:dyDescent="0.3">
      <c r="S2552" s="6"/>
    </row>
    <row r="2553" spans="19:19" x14ac:dyDescent="0.3">
      <c r="S2553" s="6"/>
    </row>
    <row r="2554" spans="19:19" x14ac:dyDescent="0.3">
      <c r="S2554" s="6"/>
    </row>
    <row r="2555" spans="19:19" x14ac:dyDescent="0.3">
      <c r="S2555" s="6"/>
    </row>
    <row r="2556" spans="19:19" x14ac:dyDescent="0.3">
      <c r="S2556" s="6"/>
    </row>
    <row r="2557" spans="19:19" x14ac:dyDescent="0.3">
      <c r="S2557" s="6"/>
    </row>
    <row r="2558" spans="19:19" x14ac:dyDescent="0.3">
      <c r="S2558" s="6"/>
    </row>
    <row r="2559" spans="19:19" x14ac:dyDescent="0.3">
      <c r="S2559" s="6"/>
    </row>
    <row r="2560" spans="19:19" x14ac:dyDescent="0.3">
      <c r="S2560" s="6"/>
    </row>
    <row r="2561" spans="19:19" x14ac:dyDescent="0.3">
      <c r="S2561" s="6"/>
    </row>
    <row r="2562" spans="19:19" x14ac:dyDescent="0.3">
      <c r="S2562" s="6"/>
    </row>
    <row r="2563" spans="19:19" x14ac:dyDescent="0.3">
      <c r="S2563" s="6"/>
    </row>
    <row r="2564" spans="19:19" x14ac:dyDescent="0.3">
      <c r="S2564" s="6"/>
    </row>
    <row r="2565" spans="19:19" x14ac:dyDescent="0.3">
      <c r="S2565" s="6"/>
    </row>
    <row r="2566" spans="19:19" x14ac:dyDescent="0.3">
      <c r="S2566" s="6"/>
    </row>
    <row r="2567" spans="19:19" x14ac:dyDescent="0.3">
      <c r="S2567" s="6"/>
    </row>
    <row r="2568" spans="19:19" x14ac:dyDescent="0.3">
      <c r="S2568" s="6"/>
    </row>
    <row r="2569" spans="19:19" x14ac:dyDescent="0.3">
      <c r="S2569" s="6"/>
    </row>
    <row r="2570" spans="19:19" x14ac:dyDescent="0.3">
      <c r="S2570" s="6"/>
    </row>
    <row r="2571" spans="19:19" x14ac:dyDescent="0.3">
      <c r="S2571" s="6"/>
    </row>
    <row r="2572" spans="19:19" x14ac:dyDescent="0.3">
      <c r="S2572" s="6"/>
    </row>
    <row r="2573" spans="19:19" x14ac:dyDescent="0.3">
      <c r="S2573" s="6"/>
    </row>
    <row r="2574" spans="19:19" x14ac:dyDescent="0.3">
      <c r="S2574" s="6"/>
    </row>
    <row r="2575" spans="19:19" x14ac:dyDescent="0.3">
      <c r="S2575" s="6"/>
    </row>
    <row r="2576" spans="19:19" x14ac:dyDescent="0.3">
      <c r="S2576" s="6"/>
    </row>
    <row r="2577" spans="19:19" x14ac:dyDescent="0.3">
      <c r="S2577" s="6"/>
    </row>
    <row r="2578" spans="19:19" x14ac:dyDescent="0.3">
      <c r="S2578" s="6"/>
    </row>
    <row r="2579" spans="19:19" x14ac:dyDescent="0.3">
      <c r="S2579" s="6"/>
    </row>
    <row r="2580" spans="19:19" x14ac:dyDescent="0.3">
      <c r="S2580" s="6"/>
    </row>
    <row r="2581" spans="19:19" x14ac:dyDescent="0.3">
      <c r="S2581" s="6"/>
    </row>
    <row r="2582" spans="19:19" x14ac:dyDescent="0.3">
      <c r="S2582" s="6"/>
    </row>
    <row r="2583" spans="19:19" x14ac:dyDescent="0.3">
      <c r="S2583" s="6"/>
    </row>
    <row r="2584" spans="19:19" x14ac:dyDescent="0.3">
      <c r="S2584" s="6"/>
    </row>
    <row r="2585" spans="19:19" x14ac:dyDescent="0.3">
      <c r="S2585" s="6"/>
    </row>
    <row r="2586" spans="19:19" x14ac:dyDescent="0.3">
      <c r="S2586" s="6"/>
    </row>
    <row r="2587" spans="19:19" x14ac:dyDescent="0.3">
      <c r="S2587" s="6"/>
    </row>
    <row r="2588" spans="19:19" x14ac:dyDescent="0.3">
      <c r="S2588" s="6"/>
    </row>
    <row r="2589" spans="19:19" x14ac:dyDescent="0.3">
      <c r="S2589" s="6"/>
    </row>
    <row r="2590" spans="19:19" x14ac:dyDescent="0.3">
      <c r="S2590" s="6"/>
    </row>
    <row r="2591" spans="19:19" x14ac:dyDescent="0.3">
      <c r="S2591" s="6"/>
    </row>
    <row r="2592" spans="19:19" x14ac:dyDescent="0.3">
      <c r="S2592" s="6"/>
    </row>
    <row r="2593" spans="19:19" x14ac:dyDescent="0.3">
      <c r="S2593" s="6"/>
    </row>
    <row r="2594" spans="19:19" x14ac:dyDescent="0.3">
      <c r="S2594" s="6"/>
    </row>
    <row r="2595" spans="19:19" x14ac:dyDescent="0.3">
      <c r="S2595" s="6"/>
    </row>
    <row r="2596" spans="19:19" x14ac:dyDescent="0.3">
      <c r="S2596" s="6"/>
    </row>
    <row r="2597" spans="19:19" x14ac:dyDescent="0.3">
      <c r="S2597" s="6"/>
    </row>
    <row r="2598" spans="19:19" x14ac:dyDescent="0.3">
      <c r="S2598" s="6"/>
    </row>
    <row r="2599" spans="19:19" x14ac:dyDescent="0.3">
      <c r="S2599" s="6"/>
    </row>
    <row r="2600" spans="19:19" x14ac:dyDescent="0.3">
      <c r="S2600" s="6"/>
    </row>
    <row r="2601" spans="19:19" x14ac:dyDescent="0.3">
      <c r="S2601" s="6"/>
    </row>
    <row r="2602" spans="19:19" x14ac:dyDescent="0.3">
      <c r="S2602" s="6"/>
    </row>
    <row r="2603" spans="19:19" x14ac:dyDescent="0.3">
      <c r="S2603" s="6"/>
    </row>
    <row r="2604" spans="19:19" x14ac:dyDescent="0.3">
      <c r="S2604" s="6"/>
    </row>
    <row r="2605" spans="19:19" x14ac:dyDescent="0.3">
      <c r="S2605" s="6"/>
    </row>
    <row r="2606" spans="19:19" x14ac:dyDescent="0.3">
      <c r="S2606" s="6"/>
    </row>
    <row r="2607" spans="19:19" x14ac:dyDescent="0.3">
      <c r="S2607" s="6"/>
    </row>
    <row r="2608" spans="19:19" x14ac:dyDescent="0.3">
      <c r="S2608" s="6"/>
    </row>
    <row r="2609" spans="19:19" x14ac:dyDescent="0.3">
      <c r="S2609" s="6"/>
    </row>
    <row r="2610" spans="19:19" x14ac:dyDescent="0.3">
      <c r="S2610" s="6"/>
    </row>
    <row r="2611" spans="19:19" x14ac:dyDescent="0.3">
      <c r="S2611" s="6"/>
    </row>
    <row r="2612" spans="19:19" x14ac:dyDescent="0.3">
      <c r="S2612" s="6"/>
    </row>
    <row r="2613" spans="19:19" x14ac:dyDescent="0.3">
      <c r="S2613" s="6"/>
    </row>
    <row r="2614" spans="19:19" x14ac:dyDescent="0.3">
      <c r="S2614" s="6"/>
    </row>
    <row r="2615" spans="19:19" x14ac:dyDescent="0.3">
      <c r="S2615" s="6"/>
    </row>
    <row r="2616" spans="19:19" x14ac:dyDescent="0.3">
      <c r="S2616" s="6"/>
    </row>
    <row r="2617" spans="19:19" x14ac:dyDescent="0.3">
      <c r="S2617" s="6"/>
    </row>
    <row r="2618" spans="19:19" x14ac:dyDescent="0.3">
      <c r="S2618" s="6"/>
    </row>
    <row r="2619" spans="19:19" x14ac:dyDescent="0.3">
      <c r="S2619" s="6"/>
    </row>
    <row r="2620" spans="19:19" x14ac:dyDescent="0.3">
      <c r="S2620" s="6"/>
    </row>
    <row r="2621" spans="19:19" x14ac:dyDescent="0.3">
      <c r="S2621" s="6"/>
    </row>
    <row r="2622" spans="19:19" x14ac:dyDescent="0.3">
      <c r="S2622" s="6"/>
    </row>
    <row r="2623" spans="19:19" x14ac:dyDescent="0.3">
      <c r="S2623" s="6"/>
    </row>
    <row r="2624" spans="19:19" x14ac:dyDescent="0.3">
      <c r="S2624" s="6"/>
    </row>
    <row r="2625" spans="19:19" x14ac:dyDescent="0.3">
      <c r="S2625" s="6"/>
    </row>
    <row r="2626" spans="19:19" x14ac:dyDescent="0.3">
      <c r="S2626" s="6"/>
    </row>
    <row r="2627" spans="19:19" x14ac:dyDescent="0.3">
      <c r="S2627" s="6"/>
    </row>
    <row r="2628" spans="19:19" x14ac:dyDescent="0.3">
      <c r="S2628" s="6"/>
    </row>
    <row r="2629" spans="19:19" x14ac:dyDescent="0.3">
      <c r="S2629" s="6"/>
    </row>
    <row r="2630" spans="19:19" x14ac:dyDescent="0.3">
      <c r="S2630" s="6"/>
    </row>
    <row r="2631" spans="19:19" x14ac:dyDescent="0.3">
      <c r="S2631" s="6"/>
    </row>
    <row r="2632" spans="19:19" x14ac:dyDescent="0.3">
      <c r="S2632" s="6"/>
    </row>
    <row r="2633" spans="19:19" x14ac:dyDescent="0.3">
      <c r="S2633" s="6"/>
    </row>
    <row r="2634" spans="19:19" x14ac:dyDescent="0.3">
      <c r="S2634" s="6"/>
    </row>
    <row r="2635" spans="19:19" x14ac:dyDescent="0.3">
      <c r="S2635" s="6"/>
    </row>
    <row r="2636" spans="19:19" x14ac:dyDescent="0.3">
      <c r="S2636" s="6"/>
    </row>
    <row r="2637" spans="19:19" x14ac:dyDescent="0.3">
      <c r="S2637" s="6"/>
    </row>
    <row r="2638" spans="19:19" x14ac:dyDescent="0.3">
      <c r="S2638" s="6"/>
    </row>
    <row r="2639" spans="19:19" x14ac:dyDescent="0.3">
      <c r="S2639" s="6"/>
    </row>
    <row r="2640" spans="19:19" x14ac:dyDescent="0.3">
      <c r="S2640" s="6"/>
    </row>
    <row r="2641" spans="19:19" x14ac:dyDescent="0.3">
      <c r="S2641" s="6"/>
    </row>
    <row r="2642" spans="19:19" x14ac:dyDescent="0.3">
      <c r="S2642" s="6"/>
    </row>
    <row r="2643" spans="19:19" x14ac:dyDescent="0.3">
      <c r="S2643" s="6"/>
    </row>
    <row r="2644" spans="19:19" x14ac:dyDescent="0.3">
      <c r="S2644" s="6"/>
    </row>
    <row r="2645" spans="19:19" x14ac:dyDescent="0.3">
      <c r="S2645" s="6"/>
    </row>
    <row r="2646" spans="19:19" x14ac:dyDescent="0.3">
      <c r="S2646" s="6"/>
    </row>
    <row r="2647" spans="19:19" x14ac:dyDescent="0.3">
      <c r="S2647" s="6"/>
    </row>
    <row r="2648" spans="19:19" x14ac:dyDescent="0.3">
      <c r="S2648" s="6"/>
    </row>
    <row r="2649" spans="19:19" x14ac:dyDescent="0.3">
      <c r="S2649" s="6"/>
    </row>
    <row r="2650" spans="19:19" x14ac:dyDescent="0.3">
      <c r="S2650" s="6"/>
    </row>
    <row r="2651" spans="19:19" x14ac:dyDescent="0.3">
      <c r="S2651" s="6"/>
    </row>
    <row r="2652" spans="19:19" x14ac:dyDescent="0.3">
      <c r="S2652" s="6"/>
    </row>
    <row r="2653" spans="19:19" x14ac:dyDescent="0.3">
      <c r="S2653" s="6"/>
    </row>
    <row r="2654" spans="19:19" x14ac:dyDescent="0.3">
      <c r="S2654" s="6"/>
    </row>
    <row r="2655" spans="19:19" x14ac:dyDescent="0.3">
      <c r="S2655" s="6"/>
    </row>
    <row r="2656" spans="19:19" x14ac:dyDescent="0.3">
      <c r="S2656" s="6"/>
    </row>
    <row r="2657" spans="19:19" x14ac:dyDescent="0.3">
      <c r="S2657" s="6"/>
    </row>
    <row r="2658" spans="19:19" x14ac:dyDescent="0.3">
      <c r="S2658" s="6"/>
    </row>
    <row r="2659" spans="19:19" x14ac:dyDescent="0.3">
      <c r="S2659" s="6"/>
    </row>
    <row r="2660" spans="19:19" x14ac:dyDescent="0.3">
      <c r="S2660" s="6"/>
    </row>
    <row r="2661" spans="19:19" x14ac:dyDescent="0.3">
      <c r="S2661" s="6"/>
    </row>
    <row r="2662" spans="19:19" x14ac:dyDescent="0.3">
      <c r="S2662" s="6"/>
    </row>
    <row r="2663" spans="19:19" x14ac:dyDescent="0.3">
      <c r="S2663" s="6"/>
    </row>
    <row r="2664" spans="19:19" x14ac:dyDescent="0.3">
      <c r="S2664" s="6"/>
    </row>
    <row r="2665" spans="19:19" x14ac:dyDescent="0.3">
      <c r="S2665" s="6"/>
    </row>
    <row r="2666" spans="19:19" x14ac:dyDescent="0.3">
      <c r="S2666" s="6"/>
    </row>
    <row r="2667" spans="19:19" x14ac:dyDescent="0.3">
      <c r="S2667" s="6"/>
    </row>
    <row r="2668" spans="19:19" x14ac:dyDescent="0.3">
      <c r="S2668" s="6"/>
    </row>
    <row r="2669" spans="19:19" x14ac:dyDescent="0.3">
      <c r="S2669" s="6"/>
    </row>
    <row r="2670" spans="19:19" x14ac:dyDescent="0.3">
      <c r="S2670" s="6"/>
    </row>
    <row r="2671" spans="19:19" x14ac:dyDescent="0.3">
      <c r="S2671" s="6"/>
    </row>
    <row r="2672" spans="19:19" x14ac:dyDescent="0.3">
      <c r="S2672" s="6"/>
    </row>
    <row r="2673" spans="19:19" x14ac:dyDescent="0.3">
      <c r="S2673" s="6"/>
    </row>
    <row r="2674" spans="19:19" x14ac:dyDescent="0.3">
      <c r="S2674" s="6"/>
    </row>
    <row r="2675" spans="19:19" x14ac:dyDescent="0.3">
      <c r="S2675" s="6"/>
    </row>
    <row r="2676" spans="19:19" x14ac:dyDescent="0.3">
      <c r="S2676" s="6"/>
    </row>
    <row r="2677" spans="19:19" x14ac:dyDescent="0.3">
      <c r="S2677" s="6"/>
    </row>
    <row r="2678" spans="19:19" x14ac:dyDescent="0.3">
      <c r="S2678" s="6"/>
    </row>
    <row r="2679" spans="19:19" x14ac:dyDescent="0.3">
      <c r="S2679" s="6"/>
    </row>
    <row r="2680" spans="19:19" x14ac:dyDescent="0.3">
      <c r="S2680" s="6"/>
    </row>
    <row r="2681" spans="19:19" x14ac:dyDescent="0.3">
      <c r="S2681" s="6"/>
    </row>
    <row r="2682" spans="19:19" x14ac:dyDescent="0.3">
      <c r="S2682" s="6"/>
    </row>
    <row r="2683" spans="19:19" x14ac:dyDescent="0.3">
      <c r="S2683" s="6"/>
    </row>
    <row r="2684" spans="19:19" x14ac:dyDescent="0.3">
      <c r="S2684" s="6"/>
    </row>
    <row r="2685" spans="19:19" x14ac:dyDescent="0.3">
      <c r="S2685" s="6"/>
    </row>
    <row r="2686" spans="19:19" x14ac:dyDescent="0.3">
      <c r="S2686" s="6"/>
    </row>
    <row r="2687" spans="19:19" x14ac:dyDescent="0.3">
      <c r="S2687" s="6"/>
    </row>
    <row r="2688" spans="19:19" x14ac:dyDescent="0.3">
      <c r="S2688" s="6"/>
    </row>
    <row r="2689" spans="19:19" x14ac:dyDescent="0.3">
      <c r="S2689" s="6"/>
    </row>
    <row r="2690" spans="19:19" x14ac:dyDescent="0.3">
      <c r="S2690" s="6"/>
    </row>
    <row r="2691" spans="19:19" x14ac:dyDescent="0.3">
      <c r="S2691" s="6"/>
    </row>
    <row r="2692" spans="19:19" x14ac:dyDescent="0.3">
      <c r="S2692" s="6"/>
    </row>
    <row r="2693" spans="19:19" x14ac:dyDescent="0.3">
      <c r="S2693" s="6"/>
    </row>
    <row r="2694" spans="19:19" x14ac:dyDescent="0.3">
      <c r="S2694" s="6"/>
    </row>
    <row r="2695" spans="19:19" x14ac:dyDescent="0.3">
      <c r="S2695" s="6"/>
    </row>
    <row r="2696" spans="19:19" x14ac:dyDescent="0.3">
      <c r="S2696" s="6"/>
    </row>
    <row r="2697" spans="19:19" x14ac:dyDescent="0.3">
      <c r="S2697" s="6"/>
    </row>
    <row r="2698" spans="19:19" x14ac:dyDescent="0.3">
      <c r="S2698" s="6"/>
    </row>
    <row r="2699" spans="19:19" x14ac:dyDescent="0.3">
      <c r="S2699" s="6"/>
    </row>
    <row r="2700" spans="19:19" x14ac:dyDescent="0.3">
      <c r="S2700" s="6"/>
    </row>
    <row r="2701" spans="19:19" x14ac:dyDescent="0.3">
      <c r="S2701" s="6"/>
    </row>
    <row r="2702" spans="19:19" x14ac:dyDescent="0.3">
      <c r="S2702" s="6"/>
    </row>
    <row r="2703" spans="19:19" x14ac:dyDescent="0.3">
      <c r="S2703" s="6"/>
    </row>
    <row r="2704" spans="19:19" x14ac:dyDescent="0.3">
      <c r="S2704" s="6"/>
    </row>
    <row r="2705" spans="19:19" x14ac:dyDescent="0.3">
      <c r="S2705" s="6"/>
    </row>
    <row r="2706" spans="19:19" x14ac:dyDescent="0.3">
      <c r="S2706" s="6"/>
    </row>
    <row r="2707" spans="19:19" x14ac:dyDescent="0.3">
      <c r="S2707" s="6"/>
    </row>
    <row r="2708" spans="19:19" x14ac:dyDescent="0.3">
      <c r="S2708" s="6"/>
    </row>
    <row r="2709" spans="19:19" x14ac:dyDescent="0.3">
      <c r="S2709" s="6"/>
    </row>
    <row r="2710" spans="19:19" x14ac:dyDescent="0.3">
      <c r="S2710" s="6"/>
    </row>
    <row r="2711" spans="19:19" x14ac:dyDescent="0.3">
      <c r="S2711" s="6"/>
    </row>
    <row r="2712" spans="19:19" x14ac:dyDescent="0.3">
      <c r="S2712" s="6"/>
    </row>
    <row r="2713" spans="19:19" x14ac:dyDescent="0.3">
      <c r="S2713" s="6"/>
    </row>
    <row r="2714" spans="19:19" x14ac:dyDescent="0.3">
      <c r="S2714" s="6"/>
    </row>
    <row r="2715" spans="19:19" x14ac:dyDescent="0.3">
      <c r="S2715" s="6"/>
    </row>
    <row r="2716" spans="19:19" x14ac:dyDescent="0.3">
      <c r="S2716" s="6"/>
    </row>
    <row r="2717" spans="19:19" x14ac:dyDescent="0.3">
      <c r="S2717" s="6"/>
    </row>
    <row r="2718" spans="19:19" x14ac:dyDescent="0.3">
      <c r="S2718" s="6"/>
    </row>
    <row r="2719" spans="19:19" x14ac:dyDescent="0.3">
      <c r="S2719" s="6"/>
    </row>
    <row r="2720" spans="19:19" x14ac:dyDescent="0.3">
      <c r="S2720" s="6"/>
    </row>
    <row r="2721" spans="19:19" x14ac:dyDescent="0.3">
      <c r="S2721" s="6"/>
    </row>
    <row r="2722" spans="19:19" x14ac:dyDescent="0.3">
      <c r="S2722" s="6"/>
    </row>
    <row r="2723" spans="19:19" x14ac:dyDescent="0.3">
      <c r="S2723" s="6"/>
    </row>
    <row r="2724" spans="19:19" x14ac:dyDescent="0.3">
      <c r="S2724" s="6"/>
    </row>
    <row r="2725" spans="19:19" x14ac:dyDescent="0.3">
      <c r="S2725" s="6"/>
    </row>
    <row r="2726" spans="19:19" x14ac:dyDescent="0.3">
      <c r="S2726" s="6"/>
    </row>
    <row r="2727" spans="19:19" x14ac:dyDescent="0.3">
      <c r="S2727" s="6"/>
    </row>
    <row r="2728" spans="19:19" x14ac:dyDescent="0.3">
      <c r="S2728" s="6"/>
    </row>
    <row r="2729" spans="19:19" x14ac:dyDescent="0.3">
      <c r="S2729" s="6"/>
    </row>
    <row r="2730" spans="19:19" x14ac:dyDescent="0.3">
      <c r="S2730" s="6"/>
    </row>
    <row r="2731" spans="19:19" x14ac:dyDescent="0.3">
      <c r="S2731" s="6"/>
    </row>
    <row r="2732" spans="19:19" x14ac:dyDescent="0.3">
      <c r="S2732" s="6"/>
    </row>
    <row r="2733" spans="19:19" x14ac:dyDescent="0.3">
      <c r="S2733" s="6"/>
    </row>
    <row r="2734" spans="19:19" x14ac:dyDescent="0.3">
      <c r="S2734" s="6"/>
    </row>
    <row r="2735" spans="19:19" x14ac:dyDescent="0.3">
      <c r="S2735" s="6"/>
    </row>
    <row r="2736" spans="19:19" x14ac:dyDescent="0.3">
      <c r="S2736" s="6"/>
    </row>
    <row r="2737" spans="19:19" x14ac:dyDescent="0.3">
      <c r="S2737" s="6"/>
    </row>
    <row r="2738" spans="19:19" x14ac:dyDescent="0.3">
      <c r="S2738" s="6"/>
    </row>
    <row r="2739" spans="19:19" x14ac:dyDescent="0.3">
      <c r="S2739" s="6"/>
    </row>
    <row r="2740" spans="19:19" x14ac:dyDescent="0.3">
      <c r="S2740" s="6"/>
    </row>
    <row r="2741" spans="19:19" x14ac:dyDescent="0.3">
      <c r="S2741" s="6"/>
    </row>
    <row r="2742" spans="19:19" x14ac:dyDescent="0.3">
      <c r="S2742" s="6"/>
    </row>
    <row r="2743" spans="19:19" x14ac:dyDescent="0.3">
      <c r="S2743" s="6"/>
    </row>
    <row r="2744" spans="19:19" x14ac:dyDescent="0.3">
      <c r="S2744" s="6"/>
    </row>
    <row r="2745" spans="19:19" x14ac:dyDescent="0.3">
      <c r="S2745" s="6"/>
    </row>
    <row r="2746" spans="19:19" x14ac:dyDescent="0.3">
      <c r="S2746" s="6"/>
    </row>
    <row r="2747" spans="19:19" x14ac:dyDescent="0.3">
      <c r="S2747" s="6"/>
    </row>
    <row r="2748" spans="19:19" x14ac:dyDescent="0.3">
      <c r="S2748" s="6"/>
    </row>
    <row r="2749" spans="19:19" x14ac:dyDescent="0.3">
      <c r="S2749" s="6"/>
    </row>
    <row r="2750" spans="19:19" x14ac:dyDescent="0.3">
      <c r="S2750" s="6"/>
    </row>
    <row r="2751" spans="19:19" x14ac:dyDescent="0.3">
      <c r="S2751" s="6"/>
    </row>
    <row r="2752" spans="19:19" x14ac:dyDescent="0.3">
      <c r="S2752" s="6"/>
    </row>
    <row r="2753" spans="19:19" x14ac:dyDescent="0.3">
      <c r="S2753" s="6"/>
    </row>
    <row r="2754" spans="19:19" x14ac:dyDescent="0.3">
      <c r="S2754" s="6"/>
    </row>
    <row r="2755" spans="19:19" x14ac:dyDescent="0.3">
      <c r="S2755" s="6"/>
    </row>
    <row r="2756" spans="19:19" x14ac:dyDescent="0.3">
      <c r="S2756" s="6"/>
    </row>
    <row r="2757" spans="19:19" x14ac:dyDescent="0.3">
      <c r="S2757" s="6"/>
    </row>
    <row r="2758" spans="19:19" x14ac:dyDescent="0.3">
      <c r="S2758" s="6"/>
    </row>
    <row r="2759" spans="19:19" x14ac:dyDescent="0.3">
      <c r="S2759" s="6"/>
    </row>
    <row r="2760" spans="19:19" x14ac:dyDescent="0.3">
      <c r="S2760" s="6"/>
    </row>
    <row r="2761" spans="19:19" x14ac:dyDescent="0.3">
      <c r="S2761" s="6"/>
    </row>
    <row r="2762" spans="19:19" x14ac:dyDescent="0.3">
      <c r="S2762" s="6"/>
    </row>
    <row r="2763" spans="19:19" x14ac:dyDescent="0.3">
      <c r="S2763" s="6"/>
    </row>
    <row r="2764" spans="19:19" x14ac:dyDescent="0.3">
      <c r="S2764" s="6"/>
    </row>
    <row r="2765" spans="19:19" x14ac:dyDescent="0.3">
      <c r="S2765" s="6"/>
    </row>
    <row r="2766" spans="19:19" x14ac:dyDescent="0.3">
      <c r="S2766" s="6"/>
    </row>
    <row r="2767" spans="19:19" x14ac:dyDescent="0.3">
      <c r="S2767" s="6"/>
    </row>
    <row r="2768" spans="19:19" x14ac:dyDescent="0.3">
      <c r="S2768" s="6"/>
    </row>
    <row r="2769" spans="19:19" x14ac:dyDescent="0.3">
      <c r="S2769" s="6"/>
    </row>
    <row r="2770" spans="19:19" x14ac:dyDescent="0.3">
      <c r="S2770" s="6"/>
    </row>
    <row r="2771" spans="19:19" x14ac:dyDescent="0.3">
      <c r="S2771" s="6"/>
    </row>
    <row r="2772" spans="19:19" x14ac:dyDescent="0.3">
      <c r="S2772" s="6"/>
    </row>
    <row r="2773" spans="19:19" x14ac:dyDescent="0.3">
      <c r="S2773" s="6"/>
    </row>
    <row r="2774" spans="19:19" x14ac:dyDescent="0.3">
      <c r="S2774" s="6"/>
    </row>
    <row r="2775" spans="19:19" x14ac:dyDescent="0.3">
      <c r="S2775" s="6"/>
    </row>
    <row r="2776" spans="19:19" x14ac:dyDescent="0.3">
      <c r="S2776" s="6"/>
    </row>
    <row r="2777" spans="19:19" x14ac:dyDescent="0.3">
      <c r="S2777" s="6"/>
    </row>
    <row r="2778" spans="19:19" x14ac:dyDescent="0.3">
      <c r="S2778" s="6"/>
    </row>
    <row r="2779" spans="19:19" x14ac:dyDescent="0.3">
      <c r="S2779" s="6"/>
    </row>
    <row r="2780" spans="19:19" x14ac:dyDescent="0.3">
      <c r="S2780" s="6"/>
    </row>
    <row r="2781" spans="19:19" x14ac:dyDescent="0.3">
      <c r="S2781" s="6"/>
    </row>
    <row r="2782" spans="19:19" x14ac:dyDescent="0.3">
      <c r="S2782" s="6"/>
    </row>
    <row r="2783" spans="19:19" x14ac:dyDescent="0.3">
      <c r="S2783" s="6"/>
    </row>
    <row r="2784" spans="19:19" x14ac:dyDescent="0.3">
      <c r="S2784" s="6"/>
    </row>
    <row r="2785" spans="19:19" x14ac:dyDescent="0.3">
      <c r="S2785" s="6"/>
    </row>
    <row r="2786" spans="19:19" x14ac:dyDescent="0.3">
      <c r="S2786" s="6"/>
    </row>
    <row r="2787" spans="19:19" x14ac:dyDescent="0.3">
      <c r="S2787" s="6"/>
    </row>
    <row r="2788" spans="19:19" x14ac:dyDescent="0.3">
      <c r="S2788" s="6"/>
    </row>
    <row r="2789" spans="19:19" x14ac:dyDescent="0.3">
      <c r="S2789" s="6"/>
    </row>
    <row r="2790" spans="19:19" x14ac:dyDescent="0.3">
      <c r="S2790" s="6"/>
    </row>
    <row r="2791" spans="19:19" x14ac:dyDescent="0.3">
      <c r="S2791" s="6"/>
    </row>
    <row r="2792" spans="19:19" x14ac:dyDescent="0.3">
      <c r="S2792" s="6"/>
    </row>
    <row r="2793" spans="19:19" x14ac:dyDescent="0.3">
      <c r="S2793" s="6"/>
    </row>
    <row r="2794" spans="19:19" x14ac:dyDescent="0.3">
      <c r="S2794" s="6"/>
    </row>
    <row r="2795" spans="19:19" x14ac:dyDescent="0.3">
      <c r="S2795" s="6"/>
    </row>
    <row r="2796" spans="19:19" x14ac:dyDescent="0.3">
      <c r="S2796" s="6"/>
    </row>
    <row r="2797" spans="19:19" x14ac:dyDescent="0.3">
      <c r="S2797" s="6"/>
    </row>
    <row r="2798" spans="19:19" x14ac:dyDescent="0.3">
      <c r="S2798" s="6"/>
    </row>
    <row r="2799" spans="19:19" x14ac:dyDescent="0.3">
      <c r="S2799" s="6"/>
    </row>
    <row r="2800" spans="19:19" x14ac:dyDescent="0.3">
      <c r="S2800" s="6"/>
    </row>
    <row r="2801" spans="19:19" x14ac:dyDescent="0.3">
      <c r="S2801" s="6"/>
    </row>
    <row r="2802" spans="19:19" x14ac:dyDescent="0.3">
      <c r="S2802" s="6"/>
    </row>
    <row r="2803" spans="19:19" x14ac:dyDescent="0.3">
      <c r="S2803" s="6"/>
    </row>
    <row r="2804" spans="19:19" x14ac:dyDescent="0.3">
      <c r="S2804" s="6"/>
    </row>
    <row r="2805" spans="19:19" x14ac:dyDescent="0.3">
      <c r="S2805" s="6"/>
    </row>
    <row r="2806" spans="19:19" x14ac:dyDescent="0.3">
      <c r="S2806" s="6"/>
    </row>
    <row r="2807" spans="19:19" x14ac:dyDescent="0.3">
      <c r="S2807" s="6"/>
    </row>
    <row r="2808" spans="19:19" x14ac:dyDescent="0.3">
      <c r="S2808" s="6"/>
    </row>
    <row r="2809" spans="19:19" x14ac:dyDescent="0.3">
      <c r="S2809" s="6"/>
    </row>
    <row r="2810" spans="19:19" x14ac:dyDescent="0.3">
      <c r="S2810" s="6"/>
    </row>
    <row r="2811" spans="19:19" x14ac:dyDescent="0.3">
      <c r="S2811" s="6"/>
    </row>
    <row r="2812" spans="19:19" x14ac:dyDescent="0.3">
      <c r="S2812" s="6"/>
    </row>
    <row r="2813" spans="19:19" x14ac:dyDescent="0.3">
      <c r="S2813" s="6"/>
    </row>
    <row r="2814" spans="19:19" x14ac:dyDescent="0.3">
      <c r="S2814" s="6"/>
    </row>
    <row r="2815" spans="19:19" x14ac:dyDescent="0.3">
      <c r="S2815" s="6"/>
    </row>
    <row r="2816" spans="19:19" x14ac:dyDescent="0.3">
      <c r="S2816" s="6"/>
    </row>
    <row r="2817" spans="19:19" x14ac:dyDescent="0.3">
      <c r="S2817" s="6"/>
    </row>
    <row r="2818" spans="19:19" x14ac:dyDescent="0.3">
      <c r="S2818" s="6"/>
    </row>
    <row r="2819" spans="19:19" x14ac:dyDescent="0.3">
      <c r="S2819" s="6"/>
    </row>
    <row r="2820" spans="19:19" x14ac:dyDescent="0.3">
      <c r="S2820" s="6"/>
    </row>
    <row r="2821" spans="19:19" x14ac:dyDescent="0.3">
      <c r="S2821" s="6"/>
    </row>
    <row r="2822" spans="19:19" x14ac:dyDescent="0.3">
      <c r="S2822" s="6"/>
    </row>
    <row r="2823" spans="19:19" x14ac:dyDescent="0.3">
      <c r="S2823" s="6"/>
    </row>
    <row r="2824" spans="19:19" x14ac:dyDescent="0.3">
      <c r="S2824" s="6"/>
    </row>
    <row r="2825" spans="19:19" x14ac:dyDescent="0.3">
      <c r="S2825" s="6"/>
    </row>
    <row r="2826" spans="19:19" x14ac:dyDescent="0.3">
      <c r="S2826" s="6"/>
    </row>
    <row r="2827" spans="19:19" x14ac:dyDescent="0.3">
      <c r="S2827" s="6"/>
    </row>
    <row r="2828" spans="19:19" x14ac:dyDescent="0.3">
      <c r="S2828" s="6"/>
    </row>
    <row r="2829" spans="19:19" x14ac:dyDescent="0.3">
      <c r="S2829" s="6"/>
    </row>
    <row r="2830" spans="19:19" x14ac:dyDescent="0.3">
      <c r="S2830" s="6"/>
    </row>
    <row r="2831" spans="19:19" x14ac:dyDescent="0.3">
      <c r="S2831" s="6"/>
    </row>
    <row r="2832" spans="19:19" x14ac:dyDescent="0.3">
      <c r="S2832" s="6"/>
    </row>
    <row r="2833" spans="19:19" x14ac:dyDescent="0.3">
      <c r="S2833" s="6"/>
    </row>
    <row r="2834" spans="19:19" x14ac:dyDescent="0.3">
      <c r="S2834" s="6"/>
    </row>
    <row r="2835" spans="19:19" x14ac:dyDescent="0.3">
      <c r="S2835" s="6"/>
    </row>
    <row r="2836" spans="19:19" x14ac:dyDescent="0.3">
      <c r="S2836" s="6"/>
    </row>
    <row r="2837" spans="19:19" x14ac:dyDescent="0.3">
      <c r="S2837" s="6"/>
    </row>
    <row r="2838" spans="19:19" x14ac:dyDescent="0.3">
      <c r="S2838" s="6"/>
    </row>
    <row r="2839" spans="19:19" x14ac:dyDescent="0.3">
      <c r="S2839" s="6"/>
    </row>
    <row r="2840" spans="19:19" x14ac:dyDescent="0.3">
      <c r="S2840" s="6"/>
    </row>
    <row r="2841" spans="19:19" x14ac:dyDescent="0.3">
      <c r="S2841" s="6"/>
    </row>
    <row r="2842" spans="19:19" x14ac:dyDescent="0.3">
      <c r="S2842" s="6"/>
    </row>
    <row r="2843" spans="19:19" x14ac:dyDescent="0.3">
      <c r="S2843" s="6"/>
    </row>
    <row r="2844" spans="19:19" x14ac:dyDescent="0.3">
      <c r="S2844" s="6"/>
    </row>
    <row r="2845" spans="19:19" x14ac:dyDescent="0.3">
      <c r="S2845" s="6"/>
    </row>
    <row r="2846" spans="19:19" x14ac:dyDescent="0.3">
      <c r="S2846" s="6"/>
    </row>
    <row r="2847" spans="19:19" x14ac:dyDescent="0.3">
      <c r="S2847" s="6"/>
    </row>
    <row r="2848" spans="19:19" x14ac:dyDescent="0.3">
      <c r="S2848" s="6"/>
    </row>
    <row r="2849" spans="19:19" x14ac:dyDescent="0.3">
      <c r="S2849" s="6"/>
    </row>
    <row r="2850" spans="19:19" x14ac:dyDescent="0.3">
      <c r="S2850" s="6"/>
    </row>
    <row r="2851" spans="19:19" x14ac:dyDescent="0.3">
      <c r="S2851" s="6"/>
    </row>
    <row r="2852" spans="19:19" x14ac:dyDescent="0.3">
      <c r="S2852" s="6"/>
    </row>
    <row r="2853" spans="19:19" x14ac:dyDescent="0.3">
      <c r="S2853" s="6"/>
    </row>
    <row r="2854" spans="19:19" x14ac:dyDescent="0.3">
      <c r="S2854" s="6"/>
    </row>
    <row r="2855" spans="19:19" x14ac:dyDescent="0.3">
      <c r="S2855" s="6"/>
    </row>
    <row r="2856" spans="19:19" x14ac:dyDescent="0.3">
      <c r="S2856" s="6"/>
    </row>
    <row r="2857" spans="19:19" x14ac:dyDescent="0.3">
      <c r="S2857" s="6"/>
    </row>
    <row r="2858" spans="19:19" x14ac:dyDescent="0.3">
      <c r="S2858" s="6"/>
    </row>
    <row r="2859" spans="19:19" x14ac:dyDescent="0.3">
      <c r="S2859" s="6"/>
    </row>
    <row r="2860" spans="19:19" x14ac:dyDescent="0.3">
      <c r="S2860" s="6"/>
    </row>
    <row r="2861" spans="19:19" x14ac:dyDescent="0.3">
      <c r="S2861" s="6"/>
    </row>
    <row r="2862" spans="19:19" x14ac:dyDescent="0.3">
      <c r="S2862" s="6"/>
    </row>
    <row r="2863" spans="19:19" x14ac:dyDescent="0.3">
      <c r="S2863" s="6"/>
    </row>
    <row r="2864" spans="19:19" x14ac:dyDescent="0.3">
      <c r="S2864" s="6"/>
    </row>
    <row r="2865" spans="19:19" x14ac:dyDescent="0.3">
      <c r="S2865" s="6"/>
    </row>
    <row r="2866" spans="19:19" x14ac:dyDescent="0.3">
      <c r="S2866" s="6"/>
    </row>
    <row r="2867" spans="19:19" x14ac:dyDescent="0.3">
      <c r="S2867" s="6"/>
    </row>
    <row r="2868" spans="19:19" x14ac:dyDescent="0.3">
      <c r="S2868" s="6"/>
    </row>
    <row r="2869" spans="19:19" x14ac:dyDescent="0.3">
      <c r="S2869" s="6"/>
    </row>
    <row r="2870" spans="19:19" x14ac:dyDescent="0.3">
      <c r="S2870" s="6"/>
    </row>
    <row r="2871" spans="19:19" x14ac:dyDescent="0.3">
      <c r="S2871" s="6"/>
    </row>
    <row r="2872" spans="19:19" x14ac:dyDescent="0.3">
      <c r="S2872" s="6"/>
    </row>
    <row r="2873" spans="19:19" x14ac:dyDescent="0.3">
      <c r="S2873" s="6"/>
    </row>
    <row r="2874" spans="19:19" x14ac:dyDescent="0.3">
      <c r="S2874" s="6"/>
    </row>
    <row r="2875" spans="19:19" x14ac:dyDescent="0.3">
      <c r="S2875" s="6"/>
    </row>
    <row r="2876" spans="19:19" x14ac:dyDescent="0.3">
      <c r="S2876" s="6"/>
    </row>
    <row r="2877" spans="19:19" x14ac:dyDescent="0.3">
      <c r="S2877" s="6"/>
    </row>
    <row r="2878" spans="19:19" x14ac:dyDescent="0.3">
      <c r="S2878" s="6"/>
    </row>
    <row r="2879" spans="19:19" x14ac:dyDescent="0.3">
      <c r="S2879" s="6"/>
    </row>
    <row r="2880" spans="19:19" x14ac:dyDescent="0.3">
      <c r="S2880" s="6"/>
    </row>
    <row r="2881" spans="19:19" x14ac:dyDescent="0.3">
      <c r="S2881" s="6"/>
    </row>
    <row r="2882" spans="19:19" x14ac:dyDescent="0.3">
      <c r="S2882" s="6"/>
    </row>
    <row r="2883" spans="19:19" x14ac:dyDescent="0.3">
      <c r="S2883" s="6"/>
    </row>
    <row r="2884" spans="19:19" x14ac:dyDescent="0.3">
      <c r="S2884" s="6"/>
    </row>
    <row r="2885" spans="19:19" x14ac:dyDescent="0.3">
      <c r="S2885" s="6"/>
    </row>
    <row r="2886" spans="19:19" x14ac:dyDescent="0.3">
      <c r="S2886" s="6"/>
    </row>
    <row r="2887" spans="19:19" x14ac:dyDescent="0.3">
      <c r="S2887" s="6"/>
    </row>
    <row r="2888" spans="19:19" x14ac:dyDescent="0.3">
      <c r="S2888" s="6"/>
    </row>
    <row r="2889" spans="19:19" x14ac:dyDescent="0.3">
      <c r="S2889" s="6"/>
    </row>
    <row r="2890" spans="19:19" x14ac:dyDescent="0.3">
      <c r="S2890" s="6"/>
    </row>
    <row r="2891" spans="19:19" x14ac:dyDescent="0.3">
      <c r="S2891" s="6"/>
    </row>
    <row r="2892" spans="19:19" x14ac:dyDescent="0.3">
      <c r="S2892" s="6"/>
    </row>
    <row r="2893" spans="19:19" x14ac:dyDescent="0.3">
      <c r="S2893" s="6"/>
    </row>
    <row r="2894" spans="19:19" x14ac:dyDescent="0.3">
      <c r="S2894" s="6"/>
    </row>
    <row r="2895" spans="19:19" x14ac:dyDescent="0.3">
      <c r="S2895" s="6"/>
    </row>
    <row r="2896" spans="19:19" x14ac:dyDescent="0.3">
      <c r="S2896" s="6"/>
    </row>
    <row r="2897" spans="19:19" x14ac:dyDescent="0.3">
      <c r="S2897" s="6"/>
    </row>
    <row r="2898" spans="19:19" x14ac:dyDescent="0.3">
      <c r="S2898" s="6"/>
    </row>
    <row r="2899" spans="19:19" x14ac:dyDescent="0.3">
      <c r="S2899" s="6"/>
    </row>
    <row r="2900" spans="19:19" x14ac:dyDescent="0.3">
      <c r="S2900" s="6"/>
    </row>
    <row r="2901" spans="19:19" x14ac:dyDescent="0.3">
      <c r="S2901" s="6"/>
    </row>
    <row r="2902" spans="19:19" x14ac:dyDescent="0.3">
      <c r="S2902" s="6"/>
    </row>
    <row r="2903" spans="19:19" x14ac:dyDescent="0.3">
      <c r="S2903" s="6"/>
    </row>
    <row r="2904" spans="19:19" x14ac:dyDescent="0.3">
      <c r="S2904" s="6"/>
    </row>
    <row r="2905" spans="19:19" x14ac:dyDescent="0.3">
      <c r="S2905" s="6"/>
    </row>
    <row r="2906" spans="19:19" x14ac:dyDescent="0.3">
      <c r="S2906" s="6"/>
    </row>
    <row r="2907" spans="19:19" x14ac:dyDescent="0.3">
      <c r="S2907" s="6"/>
    </row>
    <row r="2908" spans="19:19" x14ac:dyDescent="0.3">
      <c r="S2908" s="6"/>
    </row>
    <row r="2909" spans="19:19" x14ac:dyDescent="0.3">
      <c r="S2909" s="6"/>
    </row>
    <row r="2910" spans="19:19" x14ac:dyDescent="0.3">
      <c r="S2910" s="6"/>
    </row>
    <row r="2911" spans="19:19" x14ac:dyDescent="0.3">
      <c r="S2911" s="6"/>
    </row>
    <row r="2912" spans="19:19" x14ac:dyDescent="0.3">
      <c r="S2912" s="6"/>
    </row>
    <row r="2913" spans="19:19" x14ac:dyDescent="0.3">
      <c r="S2913" s="6"/>
    </row>
    <row r="2914" spans="19:19" x14ac:dyDescent="0.3">
      <c r="S2914" s="6"/>
    </row>
    <row r="2915" spans="19:19" x14ac:dyDescent="0.3">
      <c r="S2915" s="6"/>
    </row>
    <row r="2916" spans="19:19" x14ac:dyDescent="0.3">
      <c r="S2916" s="6"/>
    </row>
    <row r="2917" spans="19:19" x14ac:dyDescent="0.3">
      <c r="S2917" s="6"/>
    </row>
    <row r="2918" spans="19:19" x14ac:dyDescent="0.3">
      <c r="S2918" s="6"/>
    </row>
    <row r="2919" spans="19:19" x14ac:dyDescent="0.3">
      <c r="S2919" s="6"/>
    </row>
    <row r="2920" spans="19:19" x14ac:dyDescent="0.3">
      <c r="S2920" s="6"/>
    </row>
    <row r="2921" spans="19:19" x14ac:dyDescent="0.3">
      <c r="S2921" s="6"/>
    </row>
    <row r="2922" spans="19:19" x14ac:dyDescent="0.3">
      <c r="S2922" s="6"/>
    </row>
    <row r="2923" spans="19:19" x14ac:dyDescent="0.3">
      <c r="S2923" s="6"/>
    </row>
    <row r="2924" spans="19:19" x14ac:dyDescent="0.3">
      <c r="S2924" s="6"/>
    </row>
    <row r="2925" spans="19:19" x14ac:dyDescent="0.3">
      <c r="S2925" s="6"/>
    </row>
    <row r="2926" spans="19:19" x14ac:dyDescent="0.3">
      <c r="S2926" s="6"/>
    </row>
    <row r="2927" spans="19:19" x14ac:dyDescent="0.3">
      <c r="S2927" s="6"/>
    </row>
    <row r="2928" spans="19:19" x14ac:dyDescent="0.3">
      <c r="S2928" s="6"/>
    </row>
    <row r="2929" spans="19:19" x14ac:dyDescent="0.3">
      <c r="S2929" s="6"/>
    </row>
    <row r="2930" spans="19:19" x14ac:dyDescent="0.3">
      <c r="S2930" s="6"/>
    </row>
    <row r="2931" spans="19:19" x14ac:dyDescent="0.3">
      <c r="S2931" s="6"/>
    </row>
    <row r="2932" spans="19:19" x14ac:dyDescent="0.3">
      <c r="S2932" s="6"/>
    </row>
    <row r="2933" spans="19:19" x14ac:dyDescent="0.3">
      <c r="S2933" s="6"/>
    </row>
    <row r="2934" spans="19:19" x14ac:dyDescent="0.3">
      <c r="S2934" s="6"/>
    </row>
    <row r="2935" spans="19:19" x14ac:dyDescent="0.3">
      <c r="S2935" s="6"/>
    </row>
    <row r="2936" spans="19:19" x14ac:dyDescent="0.3">
      <c r="S2936" s="6"/>
    </row>
    <row r="2937" spans="19:19" x14ac:dyDescent="0.3">
      <c r="S2937" s="6"/>
    </row>
    <row r="2938" spans="19:19" x14ac:dyDescent="0.3">
      <c r="S2938" s="6"/>
    </row>
    <row r="2939" spans="19:19" x14ac:dyDescent="0.3">
      <c r="S2939" s="6"/>
    </row>
    <row r="2940" spans="19:19" x14ac:dyDescent="0.3">
      <c r="S2940" s="6"/>
    </row>
    <row r="2941" spans="19:19" x14ac:dyDescent="0.3">
      <c r="S2941" s="6"/>
    </row>
    <row r="2942" spans="19:19" x14ac:dyDescent="0.3">
      <c r="S2942" s="6"/>
    </row>
    <row r="2943" spans="19:19" x14ac:dyDescent="0.3">
      <c r="S2943" s="6"/>
    </row>
    <row r="2944" spans="19:19" x14ac:dyDescent="0.3">
      <c r="S2944" s="6"/>
    </row>
    <row r="2945" spans="19:19" x14ac:dyDescent="0.3">
      <c r="S2945" s="6"/>
    </row>
    <row r="2946" spans="19:19" x14ac:dyDescent="0.3">
      <c r="S2946" s="6"/>
    </row>
    <row r="2947" spans="19:19" x14ac:dyDescent="0.3">
      <c r="S2947" s="6"/>
    </row>
    <row r="2948" spans="19:19" x14ac:dyDescent="0.3">
      <c r="S2948" s="6"/>
    </row>
    <row r="2949" spans="19:19" x14ac:dyDescent="0.3">
      <c r="S2949" s="6"/>
    </row>
    <row r="2950" spans="19:19" x14ac:dyDescent="0.3">
      <c r="S2950" s="6"/>
    </row>
    <row r="2951" spans="19:19" x14ac:dyDescent="0.3">
      <c r="S2951" s="6"/>
    </row>
    <row r="2952" spans="19:19" x14ac:dyDescent="0.3">
      <c r="S2952" s="6"/>
    </row>
    <row r="2953" spans="19:19" x14ac:dyDescent="0.3">
      <c r="S2953" s="6"/>
    </row>
    <row r="2954" spans="19:19" x14ac:dyDescent="0.3">
      <c r="S2954" s="6"/>
    </row>
    <row r="2955" spans="19:19" x14ac:dyDescent="0.3">
      <c r="S2955" s="6"/>
    </row>
    <row r="2956" spans="19:19" x14ac:dyDescent="0.3">
      <c r="S2956" s="6"/>
    </row>
    <row r="2957" spans="19:19" x14ac:dyDescent="0.3">
      <c r="S2957" s="6"/>
    </row>
    <row r="2958" spans="19:19" x14ac:dyDescent="0.3">
      <c r="S2958" s="6"/>
    </row>
    <row r="2959" spans="19:19" x14ac:dyDescent="0.3">
      <c r="S2959" s="6"/>
    </row>
    <row r="2960" spans="19:19" x14ac:dyDescent="0.3">
      <c r="S2960" s="6"/>
    </row>
    <row r="2961" spans="19:19" x14ac:dyDescent="0.3">
      <c r="S2961" s="6"/>
    </row>
    <row r="2962" spans="19:19" x14ac:dyDescent="0.3">
      <c r="S2962" s="6"/>
    </row>
    <row r="2963" spans="19:19" x14ac:dyDescent="0.3">
      <c r="S2963" s="6"/>
    </row>
    <row r="2964" spans="19:19" x14ac:dyDescent="0.3">
      <c r="S2964" s="6"/>
    </row>
    <row r="2965" spans="19:19" x14ac:dyDescent="0.3">
      <c r="S2965" s="6"/>
    </row>
    <row r="2966" spans="19:19" x14ac:dyDescent="0.3">
      <c r="S2966" s="6"/>
    </row>
    <row r="2967" spans="19:19" x14ac:dyDescent="0.3">
      <c r="S2967" s="6"/>
    </row>
    <row r="2968" spans="19:19" x14ac:dyDescent="0.3">
      <c r="S2968" s="6"/>
    </row>
    <row r="2969" spans="19:19" x14ac:dyDescent="0.3">
      <c r="S2969" s="6"/>
    </row>
    <row r="2970" spans="19:19" x14ac:dyDescent="0.3">
      <c r="S2970" s="6"/>
    </row>
    <row r="2971" spans="19:19" x14ac:dyDescent="0.3">
      <c r="S2971" s="6"/>
    </row>
    <row r="2972" spans="19:19" x14ac:dyDescent="0.3">
      <c r="S2972" s="6"/>
    </row>
    <row r="2973" spans="19:19" x14ac:dyDescent="0.3">
      <c r="S2973" s="6"/>
    </row>
    <row r="2974" spans="19:19" x14ac:dyDescent="0.3">
      <c r="S2974" s="6"/>
    </row>
    <row r="2975" spans="19:19" x14ac:dyDescent="0.3">
      <c r="S2975" s="6"/>
    </row>
    <row r="2976" spans="19:19" x14ac:dyDescent="0.3">
      <c r="S2976" s="6"/>
    </row>
    <row r="2977" spans="19:19" x14ac:dyDescent="0.3">
      <c r="S2977" s="6"/>
    </row>
    <row r="2978" spans="19:19" x14ac:dyDescent="0.3">
      <c r="S2978" s="6"/>
    </row>
    <row r="2979" spans="19:19" x14ac:dyDescent="0.3">
      <c r="S2979" s="6"/>
    </row>
    <row r="2980" spans="19:19" x14ac:dyDescent="0.3">
      <c r="S2980" s="6"/>
    </row>
    <row r="2981" spans="19:19" x14ac:dyDescent="0.3">
      <c r="S2981" s="6"/>
    </row>
    <row r="2982" spans="19:19" x14ac:dyDescent="0.3">
      <c r="S2982" s="6"/>
    </row>
    <row r="2983" spans="19:19" x14ac:dyDescent="0.3">
      <c r="S2983" s="6"/>
    </row>
    <row r="2984" spans="19:19" x14ac:dyDescent="0.3">
      <c r="S2984" s="6"/>
    </row>
    <row r="2985" spans="19:19" x14ac:dyDescent="0.3">
      <c r="S2985" s="6"/>
    </row>
    <row r="2986" spans="19:19" x14ac:dyDescent="0.3">
      <c r="S2986" s="6"/>
    </row>
    <row r="2987" spans="19:19" x14ac:dyDescent="0.3">
      <c r="S2987" s="6"/>
    </row>
    <row r="2988" spans="19:19" x14ac:dyDescent="0.3">
      <c r="S2988" s="6"/>
    </row>
    <row r="2989" spans="19:19" x14ac:dyDescent="0.3">
      <c r="S2989" s="6"/>
    </row>
    <row r="2990" spans="19:19" x14ac:dyDescent="0.3">
      <c r="S2990" s="6"/>
    </row>
    <row r="2991" spans="19:19" x14ac:dyDescent="0.3">
      <c r="S2991" s="6"/>
    </row>
    <row r="2992" spans="19:19" x14ac:dyDescent="0.3">
      <c r="S2992" s="6"/>
    </row>
    <row r="2993" spans="19:19" x14ac:dyDescent="0.3">
      <c r="S2993" s="6"/>
    </row>
    <row r="2994" spans="19:19" x14ac:dyDescent="0.3">
      <c r="S2994" s="6"/>
    </row>
    <row r="2995" spans="19:19" x14ac:dyDescent="0.3">
      <c r="S2995" s="6"/>
    </row>
    <row r="2996" spans="19:19" x14ac:dyDescent="0.3">
      <c r="S2996" s="6"/>
    </row>
    <row r="2997" spans="19:19" x14ac:dyDescent="0.3">
      <c r="S2997" s="6"/>
    </row>
    <row r="2998" spans="19:19" x14ac:dyDescent="0.3">
      <c r="S2998" s="6"/>
    </row>
    <row r="2999" spans="19:19" x14ac:dyDescent="0.3">
      <c r="S2999" s="6"/>
    </row>
    <row r="3000" spans="19:19" x14ac:dyDescent="0.3">
      <c r="S3000" s="6"/>
    </row>
    <row r="3001" spans="19:19" x14ac:dyDescent="0.3">
      <c r="S3001" s="6"/>
    </row>
    <row r="3002" spans="19:19" x14ac:dyDescent="0.3">
      <c r="S3002" s="6"/>
    </row>
    <row r="3003" spans="19:19" x14ac:dyDescent="0.3">
      <c r="S3003" s="6"/>
    </row>
    <row r="3004" spans="19:19" x14ac:dyDescent="0.3">
      <c r="S3004" s="6"/>
    </row>
    <row r="3005" spans="19:19" x14ac:dyDescent="0.3">
      <c r="S3005" s="6"/>
    </row>
    <row r="3006" spans="19:19" x14ac:dyDescent="0.3">
      <c r="S3006" s="6"/>
    </row>
    <row r="3007" spans="19:19" x14ac:dyDescent="0.3">
      <c r="S3007" s="6"/>
    </row>
    <row r="3008" spans="19:19" x14ac:dyDescent="0.3">
      <c r="S3008" s="6"/>
    </row>
    <row r="3009" spans="19:19" x14ac:dyDescent="0.3">
      <c r="S3009" s="6"/>
    </row>
    <row r="3010" spans="19:19" x14ac:dyDescent="0.3">
      <c r="S3010" s="6"/>
    </row>
    <row r="3011" spans="19:19" x14ac:dyDescent="0.3">
      <c r="S3011" s="6"/>
    </row>
    <row r="3012" spans="19:19" x14ac:dyDescent="0.3">
      <c r="S3012" s="6"/>
    </row>
    <row r="3013" spans="19:19" x14ac:dyDescent="0.3">
      <c r="S3013" s="6"/>
    </row>
    <row r="3014" spans="19:19" x14ac:dyDescent="0.3">
      <c r="S3014" s="6"/>
    </row>
    <row r="3015" spans="19:19" x14ac:dyDescent="0.3">
      <c r="S3015" s="6"/>
    </row>
    <row r="3016" spans="19:19" x14ac:dyDescent="0.3">
      <c r="S3016" s="6"/>
    </row>
    <row r="3017" spans="19:19" x14ac:dyDescent="0.3">
      <c r="S3017" s="6"/>
    </row>
    <row r="3018" spans="19:19" x14ac:dyDescent="0.3">
      <c r="S3018" s="6"/>
    </row>
    <row r="3019" spans="19:19" x14ac:dyDescent="0.3">
      <c r="S3019" s="6"/>
    </row>
    <row r="3020" spans="19:19" x14ac:dyDescent="0.3">
      <c r="S3020" s="6"/>
    </row>
    <row r="3021" spans="19:19" x14ac:dyDescent="0.3">
      <c r="S3021" s="6"/>
    </row>
    <row r="3022" spans="19:19" x14ac:dyDescent="0.3">
      <c r="S3022" s="6"/>
    </row>
    <row r="3023" spans="19:19" x14ac:dyDescent="0.3">
      <c r="S3023" s="6"/>
    </row>
    <row r="3024" spans="19:19" x14ac:dyDescent="0.3">
      <c r="S3024" s="6"/>
    </row>
    <row r="3025" spans="19:19" x14ac:dyDescent="0.3">
      <c r="S3025" s="6"/>
    </row>
    <row r="3026" spans="19:19" x14ac:dyDescent="0.3">
      <c r="S3026" s="6"/>
    </row>
    <row r="3027" spans="19:19" x14ac:dyDescent="0.3">
      <c r="S3027" s="6"/>
    </row>
    <row r="3028" spans="19:19" x14ac:dyDescent="0.3">
      <c r="S3028" s="6"/>
    </row>
    <row r="3029" spans="19:19" x14ac:dyDescent="0.3">
      <c r="S3029" s="6"/>
    </row>
    <row r="3030" spans="19:19" x14ac:dyDescent="0.3">
      <c r="S3030" s="6"/>
    </row>
    <row r="3031" spans="19:19" x14ac:dyDescent="0.3">
      <c r="S3031" s="6"/>
    </row>
    <row r="3032" spans="19:19" x14ac:dyDescent="0.3">
      <c r="S3032" s="6"/>
    </row>
    <row r="3033" spans="19:19" x14ac:dyDescent="0.3">
      <c r="S3033" s="6"/>
    </row>
    <row r="3034" spans="19:19" x14ac:dyDescent="0.3">
      <c r="S3034" s="6"/>
    </row>
    <row r="3035" spans="19:19" x14ac:dyDescent="0.3">
      <c r="S3035" s="6"/>
    </row>
    <row r="3036" spans="19:19" x14ac:dyDescent="0.3">
      <c r="S3036" s="6"/>
    </row>
    <row r="3037" spans="19:19" x14ac:dyDescent="0.3">
      <c r="S3037" s="6"/>
    </row>
    <row r="3038" spans="19:19" x14ac:dyDescent="0.3">
      <c r="S3038" s="6"/>
    </row>
    <row r="3039" spans="19:19" x14ac:dyDescent="0.3">
      <c r="S3039" s="6"/>
    </row>
    <row r="3040" spans="19:19" x14ac:dyDescent="0.3">
      <c r="S3040" s="6"/>
    </row>
    <row r="3041" spans="19:19" x14ac:dyDescent="0.3">
      <c r="S3041" s="6"/>
    </row>
    <row r="3042" spans="19:19" x14ac:dyDescent="0.3">
      <c r="S3042" s="6"/>
    </row>
    <row r="3043" spans="19:19" x14ac:dyDescent="0.3">
      <c r="S3043" s="6"/>
    </row>
    <row r="3044" spans="19:19" x14ac:dyDescent="0.3">
      <c r="S3044" s="6"/>
    </row>
    <row r="3045" spans="19:19" x14ac:dyDescent="0.3">
      <c r="S3045" s="6"/>
    </row>
    <row r="3046" spans="19:19" x14ac:dyDescent="0.3">
      <c r="S3046" s="6"/>
    </row>
    <row r="3047" spans="19:19" x14ac:dyDescent="0.3">
      <c r="S3047" s="6"/>
    </row>
    <row r="3048" spans="19:19" x14ac:dyDescent="0.3">
      <c r="S3048" s="6"/>
    </row>
    <row r="3049" spans="19:19" x14ac:dyDescent="0.3">
      <c r="S3049" s="6"/>
    </row>
    <row r="3050" spans="19:19" x14ac:dyDescent="0.3">
      <c r="S3050" s="6"/>
    </row>
    <row r="3051" spans="19:19" x14ac:dyDescent="0.3">
      <c r="S3051" s="6"/>
    </row>
    <row r="3052" spans="19:19" x14ac:dyDescent="0.3">
      <c r="S3052" s="6"/>
    </row>
    <row r="3053" spans="19:19" x14ac:dyDescent="0.3">
      <c r="S3053" s="6"/>
    </row>
    <row r="3054" spans="19:19" x14ac:dyDescent="0.3">
      <c r="S3054" s="6"/>
    </row>
    <row r="3055" spans="19:19" x14ac:dyDescent="0.3">
      <c r="S3055" s="6"/>
    </row>
    <row r="3056" spans="19:19" x14ac:dyDescent="0.3">
      <c r="S3056" s="6"/>
    </row>
    <row r="3057" spans="19:19" x14ac:dyDescent="0.3">
      <c r="S3057" s="6"/>
    </row>
    <row r="3058" spans="19:19" x14ac:dyDescent="0.3">
      <c r="S3058" s="6"/>
    </row>
    <row r="3059" spans="19:19" x14ac:dyDescent="0.3">
      <c r="S3059" s="6"/>
    </row>
    <row r="3060" spans="19:19" x14ac:dyDescent="0.3">
      <c r="S3060" s="6"/>
    </row>
    <row r="3061" spans="19:19" x14ac:dyDescent="0.3">
      <c r="S3061" s="6"/>
    </row>
    <row r="3062" spans="19:19" x14ac:dyDescent="0.3">
      <c r="S3062" s="6"/>
    </row>
    <row r="3063" spans="19:19" x14ac:dyDescent="0.3">
      <c r="S3063" s="6"/>
    </row>
    <row r="3064" spans="19:19" x14ac:dyDescent="0.3">
      <c r="S3064" s="6"/>
    </row>
    <row r="3065" spans="19:19" x14ac:dyDescent="0.3">
      <c r="S3065" s="6"/>
    </row>
    <row r="3066" spans="19:19" x14ac:dyDescent="0.3">
      <c r="S3066" s="6"/>
    </row>
    <row r="3067" spans="19:19" x14ac:dyDescent="0.3">
      <c r="S3067" s="6"/>
    </row>
    <row r="3068" spans="19:19" x14ac:dyDescent="0.3">
      <c r="S3068" s="6"/>
    </row>
    <row r="3069" spans="19:19" x14ac:dyDescent="0.3">
      <c r="S3069" s="6"/>
    </row>
    <row r="3070" spans="19:19" x14ac:dyDescent="0.3">
      <c r="S3070" s="6"/>
    </row>
    <row r="3071" spans="19:19" x14ac:dyDescent="0.3">
      <c r="S3071" s="6"/>
    </row>
    <row r="3072" spans="19:19" x14ac:dyDescent="0.3">
      <c r="S3072" s="6"/>
    </row>
    <row r="3073" spans="19:19" x14ac:dyDescent="0.3">
      <c r="S3073" s="6"/>
    </row>
    <row r="3074" spans="19:19" x14ac:dyDescent="0.3">
      <c r="S3074" s="6"/>
    </row>
    <row r="3075" spans="19:19" x14ac:dyDescent="0.3">
      <c r="S3075" s="6"/>
    </row>
    <row r="3076" spans="19:19" x14ac:dyDescent="0.3">
      <c r="S3076" s="6"/>
    </row>
    <row r="3077" spans="19:19" x14ac:dyDescent="0.3">
      <c r="S3077" s="6"/>
    </row>
    <row r="3078" spans="19:19" x14ac:dyDescent="0.3">
      <c r="S3078" s="6"/>
    </row>
    <row r="3079" spans="19:19" x14ac:dyDescent="0.3">
      <c r="S3079" s="6"/>
    </row>
    <row r="3080" spans="19:19" x14ac:dyDescent="0.3">
      <c r="S3080" s="6"/>
    </row>
    <row r="3081" spans="19:19" x14ac:dyDescent="0.3">
      <c r="S3081" s="6"/>
    </row>
    <row r="3082" spans="19:19" x14ac:dyDescent="0.3">
      <c r="S3082" s="6"/>
    </row>
    <row r="3083" spans="19:19" x14ac:dyDescent="0.3">
      <c r="S3083" s="6"/>
    </row>
    <row r="3084" spans="19:19" x14ac:dyDescent="0.3">
      <c r="S3084" s="6"/>
    </row>
    <row r="3085" spans="19:19" x14ac:dyDescent="0.3">
      <c r="S3085" s="6"/>
    </row>
    <row r="3086" spans="19:19" x14ac:dyDescent="0.3">
      <c r="S3086" s="6"/>
    </row>
    <row r="3087" spans="19:19" x14ac:dyDescent="0.3">
      <c r="S3087" s="6"/>
    </row>
    <row r="3088" spans="19:19" x14ac:dyDescent="0.3">
      <c r="S3088" s="6"/>
    </row>
    <row r="3089" spans="19:19" x14ac:dyDescent="0.3">
      <c r="S3089" s="6"/>
    </row>
    <row r="3090" spans="19:19" x14ac:dyDescent="0.3">
      <c r="S3090" s="6"/>
    </row>
    <row r="3091" spans="19:19" x14ac:dyDescent="0.3">
      <c r="S3091" s="6"/>
    </row>
    <row r="3092" spans="19:19" x14ac:dyDescent="0.3">
      <c r="S3092" s="6"/>
    </row>
    <row r="3093" spans="19:19" x14ac:dyDescent="0.3">
      <c r="S3093" s="6"/>
    </row>
    <row r="3094" spans="19:19" x14ac:dyDescent="0.3">
      <c r="S3094" s="6"/>
    </row>
    <row r="3095" spans="19:19" x14ac:dyDescent="0.3">
      <c r="S3095" s="6"/>
    </row>
    <row r="3096" spans="19:19" x14ac:dyDescent="0.3">
      <c r="S3096" s="6"/>
    </row>
    <row r="3097" spans="19:19" x14ac:dyDescent="0.3">
      <c r="S3097" s="6"/>
    </row>
    <row r="3098" spans="19:19" x14ac:dyDescent="0.3">
      <c r="S3098" s="6"/>
    </row>
    <row r="3099" spans="19:19" x14ac:dyDescent="0.3">
      <c r="S3099" s="6"/>
    </row>
    <row r="3100" spans="19:19" x14ac:dyDescent="0.3">
      <c r="S3100" s="6"/>
    </row>
    <row r="3101" spans="19:19" x14ac:dyDescent="0.3">
      <c r="S3101" s="6"/>
    </row>
    <row r="3102" spans="19:19" x14ac:dyDescent="0.3">
      <c r="S3102" s="6"/>
    </row>
    <row r="3103" spans="19:19" x14ac:dyDescent="0.3">
      <c r="S3103" s="6"/>
    </row>
    <row r="3104" spans="19:19" x14ac:dyDescent="0.3">
      <c r="S3104" s="6"/>
    </row>
    <row r="3105" spans="19:19" x14ac:dyDescent="0.3">
      <c r="S3105" s="6"/>
    </row>
    <row r="3106" spans="19:19" x14ac:dyDescent="0.3">
      <c r="S3106" s="6"/>
    </row>
    <row r="3107" spans="19:19" x14ac:dyDescent="0.3">
      <c r="S3107" s="6"/>
    </row>
    <row r="3108" spans="19:19" x14ac:dyDescent="0.3">
      <c r="S3108" s="6"/>
    </row>
    <row r="3109" spans="19:19" x14ac:dyDescent="0.3">
      <c r="S3109" s="6"/>
    </row>
    <row r="3110" spans="19:19" x14ac:dyDescent="0.3">
      <c r="S3110" s="6"/>
    </row>
    <row r="3111" spans="19:19" x14ac:dyDescent="0.3">
      <c r="S3111" s="6"/>
    </row>
    <row r="3112" spans="19:19" x14ac:dyDescent="0.3">
      <c r="S3112" s="6"/>
    </row>
    <row r="3113" spans="19:19" x14ac:dyDescent="0.3">
      <c r="S3113" s="6"/>
    </row>
    <row r="3114" spans="19:19" x14ac:dyDescent="0.3">
      <c r="S3114" s="6"/>
    </row>
    <row r="3115" spans="19:19" x14ac:dyDescent="0.3">
      <c r="S3115" s="6"/>
    </row>
    <row r="3116" spans="19:19" x14ac:dyDescent="0.3">
      <c r="S3116" s="6"/>
    </row>
    <row r="3117" spans="19:19" x14ac:dyDescent="0.3">
      <c r="S3117" s="6"/>
    </row>
    <row r="3118" spans="19:19" x14ac:dyDescent="0.3">
      <c r="S3118" s="6"/>
    </row>
    <row r="3119" spans="19:19" x14ac:dyDescent="0.3">
      <c r="S3119" s="6"/>
    </row>
    <row r="3120" spans="19:19" x14ac:dyDescent="0.3">
      <c r="S3120" s="6"/>
    </row>
    <row r="3121" spans="19:19" x14ac:dyDescent="0.3">
      <c r="S3121" s="6"/>
    </row>
    <row r="3122" spans="19:19" x14ac:dyDescent="0.3">
      <c r="S3122" s="6"/>
    </row>
    <row r="3123" spans="19:19" x14ac:dyDescent="0.3">
      <c r="S3123" s="6"/>
    </row>
    <row r="3124" spans="19:19" x14ac:dyDescent="0.3">
      <c r="S3124" s="6"/>
    </row>
    <row r="3125" spans="19:19" x14ac:dyDescent="0.3">
      <c r="S3125" s="6"/>
    </row>
    <row r="3126" spans="19:19" x14ac:dyDescent="0.3">
      <c r="S3126" s="6"/>
    </row>
    <row r="3127" spans="19:19" x14ac:dyDescent="0.3">
      <c r="S3127" s="6"/>
    </row>
    <row r="3128" spans="19:19" x14ac:dyDescent="0.3">
      <c r="S3128" s="6"/>
    </row>
    <row r="3129" spans="19:19" x14ac:dyDescent="0.3">
      <c r="S3129" s="6"/>
    </row>
    <row r="3130" spans="19:19" x14ac:dyDescent="0.3">
      <c r="S3130" s="6"/>
    </row>
    <row r="3131" spans="19:19" x14ac:dyDescent="0.3">
      <c r="S3131" s="6"/>
    </row>
    <row r="3132" spans="19:19" x14ac:dyDescent="0.3">
      <c r="S3132" s="6"/>
    </row>
    <row r="3133" spans="19:19" x14ac:dyDescent="0.3">
      <c r="S3133" s="6"/>
    </row>
    <row r="3134" spans="19:19" x14ac:dyDescent="0.3">
      <c r="S3134" s="6"/>
    </row>
    <row r="3135" spans="19:19" x14ac:dyDescent="0.3">
      <c r="S3135" s="6"/>
    </row>
    <row r="3136" spans="19:19" x14ac:dyDescent="0.3">
      <c r="S3136" s="6"/>
    </row>
    <row r="3137" spans="19:19" x14ac:dyDescent="0.3">
      <c r="S3137" s="6"/>
    </row>
    <row r="3138" spans="19:19" x14ac:dyDescent="0.3">
      <c r="S3138" s="6"/>
    </row>
    <row r="3139" spans="19:19" x14ac:dyDescent="0.3">
      <c r="S3139" s="6"/>
    </row>
    <row r="3140" spans="19:19" x14ac:dyDescent="0.3">
      <c r="S3140" s="6"/>
    </row>
    <row r="3141" spans="19:19" x14ac:dyDescent="0.3">
      <c r="S3141" s="6"/>
    </row>
    <row r="3142" spans="19:19" x14ac:dyDescent="0.3">
      <c r="S3142" s="6"/>
    </row>
    <row r="3143" spans="19:19" x14ac:dyDescent="0.3">
      <c r="S3143" s="6"/>
    </row>
    <row r="3144" spans="19:19" x14ac:dyDescent="0.3">
      <c r="S3144" s="6"/>
    </row>
    <row r="3145" spans="19:19" x14ac:dyDescent="0.3">
      <c r="S3145" s="6"/>
    </row>
    <row r="3146" spans="19:19" x14ac:dyDescent="0.3">
      <c r="S3146" s="6"/>
    </row>
    <row r="3147" spans="19:19" x14ac:dyDescent="0.3">
      <c r="S3147" s="6"/>
    </row>
    <row r="3148" spans="19:19" x14ac:dyDescent="0.3">
      <c r="S3148" s="6"/>
    </row>
    <row r="3149" spans="19:19" x14ac:dyDescent="0.3">
      <c r="S3149" s="6"/>
    </row>
    <row r="3150" spans="19:19" x14ac:dyDescent="0.3">
      <c r="S3150" s="6"/>
    </row>
    <row r="3151" spans="19:19" x14ac:dyDescent="0.3">
      <c r="S3151" s="6"/>
    </row>
    <row r="3152" spans="19:19" x14ac:dyDescent="0.3">
      <c r="S3152" s="6"/>
    </row>
    <row r="3153" spans="19:19" x14ac:dyDescent="0.3">
      <c r="S3153" s="6"/>
    </row>
    <row r="3154" spans="19:19" x14ac:dyDescent="0.3">
      <c r="S3154" s="6"/>
    </row>
    <row r="3155" spans="19:19" x14ac:dyDescent="0.3">
      <c r="S3155" s="6"/>
    </row>
    <row r="3156" spans="19:19" x14ac:dyDescent="0.3">
      <c r="S3156" s="6"/>
    </row>
    <row r="3157" spans="19:19" x14ac:dyDescent="0.3">
      <c r="S3157" s="6"/>
    </row>
    <row r="3158" spans="19:19" x14ac:dyDescent="0.3">
      <c r="S3158" s="6"/>
    </row>
    <row r="3159" spans="19:19" x14ac:dyDescent="0.3">
      <c r="S3159" s="6"/>
    </row>
    <row r="3160" spans="19:19" x14ac:dyDescent="0.3">
      <c r="S3160" s="6"/>
    </row>
    <row r="3161" spans="19:19" x14ac:dyDescent="0.3">
      <c r="S3161" s="6"/>
    </row>
    <row r="3162" spans="19:19" x14ac:dyDescent="0.3">
      <c r="S3162" s="6"/>
    </row>
    <row r="3163" spans="19:19" x14ac:dyDescent="0.3">
      <c r="S3163" s="6"/>
    </row>
    <row r="3164" spans="19:19" x14ac:dyDescent="0.3">
      <c r="S3164" s="6"/>
    </row>
    <row r="3165" spans="19:19" x14ac:dyDescent="0.3">
      <c r="S3165" s="6"/>
    </row>
    <row r="3166" spans="19:19" x14ac:dyDescent="0.3">
      <c r="S3166" s="6"/>
    </row>
    <row r="3167" spans="19:19" x14ac:dyDescent="0.3">
      <c r="S3167" s="6"/>
    </row>
    <row r="3168" spans="19:19" x14ac:dyDescent="0.3">
      <c r="S3168" s="6"/>
    </row>
    <row r="3169" spans="19:19" x14ac:dyDescent="0.3">
      <c r="S3169" s="6"/>
    </row>
    <row r="3170" spans="19:19" x14ac:dyDescent="0.3">
      <c r="S3170" s="6"/>
    </row>
    <row r="3171" spans="19:19" x14ac:dyDescent="0.3">
      <c r="S3171" s="6"/>
    </row>
    <row r="3172" spans="19:19" x14ac:dyDescent="0.3">
      <c r="S3172" s="6"/>
    </row>
    <row r="3173" spans="19:19" x14ac:dyDescent="0.3">
      <c r="S3173" s="6"/>
    </row>
    <row r="3174" spans="19:19" x14ac:dyDescent="0.3">
      <c r="S3174" s="6"/>
    </row>
    <row r="3175" spans="19:19" x14ac:dyDescent="0.3">
      <c r="S3175" s="6"/>
    </row>
    <row r="3176" spans="19:19" x14ac:dyDescent="0.3">
      <c r="S3176" s="6"/>
    </row>
    <row r="3177" spans="19:19" x14ac:dyDescent="0.3">
      <c r="S3177" s="6"/>
    </row>
    <row r="3178" spans="19:19" x14ac:dyDescent="0.3">
      <c r="S3178" s="6"/>
    </row>
    <row r="3179" spans="19:19" x14ac:dyDescent="0.3">
      <c r="S3179" s="6"/>
    </row>
    <row r="3180" spans="19:19" x14ac:dyDescent="0.3">
      <c r="S3180" s="6"/>
    </row>
    <row r="3181" spans="19:19" x14ac:dyDescent="0.3">
      <c r="S3181" s="6"/>
    </row>
    <row r="3182" spans="19:19" x14ac:dyDescent="0.3">
      <c r="S3182" s="6"/>
    </row>
    <row r="3183" spans="19:19" x14ac:dyDescent="0.3">
      <c r="S3183" s="6"/>
    </row>
    <row r="3184" spans="19:19" x14ac:dyDescent="0.3">
      <c r="S3184" s="6"/>
    </row>
    <row r="3185" spans="19:19" x14ac:dyDescent="0.3">
      <c r="S3185" s="6"/>
    </row>
    <row r="3186" spans="19:19" x14ac:dyDescent="0.3">
      <c r="S3186" s="6"/>
    </row>
    <row r="3187" spans="19:19" x14ac:dyDescent="0.3">
      <c r="S3187" s="6"/>
    </row>
    <row r="3188" spans="19:19" x14ac:dyDescent="0.3">
      <c r="S3188" s="6"/>
    </row>
    <row r="3189" spans="19:19" x14ac:dyDescent="0.3">
      <c r="S3189" s="6"/>
    </row>
    <row r="3190" spans="19:19" x14ac:dyDescent="0.3">
      <c r="S3190" s="6"/>
    </row>
    <row r="3191" spans="19:19" x14ac:dyDescent="0.3">
      <c r="S3191" s="6"/>
    </row>
    <row r="3192" spans="19:19" x14ac:dyDescent="0.3">
      <c r="S3192" s="6"/>
    </row>
    <row r="3193" spans="19:19" x14ac:dyDescent="0.3">
      <c r="S3193" s="6"/>
    </row>
    <row r="3194" spans="19:19" x14ac:dyDescent="0.3">
      <c r="S3194" s="6"/>
    </row>
    <row r="3195" spans="19:19" x14ac:dyDescent="0.3">
      <c r="S3195" s="6"/>
    </row>
    <row r="3196" spans="19:19" x14ac:dyDescent="0.3">
      <c r="S3196" s="6"/>
    </row>
    <row r="3197" spans="19:19" x14ac:dyDescent="0.3">
      <c r="S3197" s="6"/>
    </row>
    <row r="3198" spans="19:19" x14ac:dyDescent="0.3">
      <c r="S3198" s="6"/>
    </row>
    <row r="3199" spans="19:19" x14ac:dyDescent="0.3">
      <c r="S3199" s="6"/>
    </row>
    <row r="3200" spans="19:19" x14ac:dyDescent="0.3">
      <c r="S3200" s="6"/>
    </row>
    <row r="3201" spans="19:19" x14ac:dyDescent="0.3">
      <c r="S3201" s="6"/>
    </row>
    <row r="3202" spans="19:19" x14ac:dyDescent="0.3">
      <c r="S3202" s="6"/>
    </row>
    <row r="3203" spans="19:19" x14ac:dyDescent="0.3">
      <c r="S3203" s="6"/>
    </row>
    <row r="3204" spans="19:19" x14ac:dyDescent="0.3">
      <c r="S3204" s="6"/>
    </row>
    <row r="3205" spans="19:19" x14ac:dyDescent="0.3">
      <c r="S3205" s="6"/>
    </row>
    <row r="3206" spans="19:19" x14ac:dyDescent="0.3">
      <c r="S3206" s="6"/>
    </row>
    <row r="3207" spans="19:19" x14ac:dyDescent="0.3">
      <c r="S3207" s="6"/>
    </row>
    <row r="3208" spans="19:19" x14ac:dyDescent="0.3">
      <c r="S3208" s="6"/>
    </row>
    <row r="3209" spans="19:19" x14ac:dyDescent="0.3">
      <c r="S3209" s="6"/>
    </row>
    <row r="3210" spans="19:19" x14ac:dyDescent="0.3">
      <c r="S3210" s="6"/>
    </row>
    <row r="3211" spans="19:19" x14ac:dyDescent="0.3">
      <c r="S3211" s="6"/>
    </row>
    <row r="3212" spans="19:19" x14ac:dyDescent="0.3">
      <c r="S3212" s="6"/>
    </row>
    <row r="3213" spans="19:19" x14ac:dyDescent="0.3">
      <c r="S3213" s="6"/>
    </row>
    <row r="3214" spans="19:19" x14ac:dyDescent="0.3">
      <c r="S3214" s="6"/>
    </row>
    <row r="3215" spans="19:19" x14ac:dyDescent="0.3">
      <c r="S3215" s="6"/>
    </row>
    <row r="3216" spans="19:19" x14ac:dyDescent="0.3">
      <c r="S3216" s="6"/>
    </row>
    <row r="3217" spans="19:19" x14ac:dyDescent="0.3">
      <c r="S3217" s="6"/>
    </row>
    <row r="3218" spans="19:19" x14ac:dyDescent="0.3">
      <c r="S3218" s="6"/>
    </row>
    <row r="3219" spans="19:19" x14ac:dyDescent="0.3">
      <c r="S3219" s="6"/>
    </row>
    <row r="3220" spans="19:19" x14ac:dyDescent="0.3">
      <c r="S3220" s="6"/>
    </row>
    <row r="3221" spans="19:19" x14ac:dyDescent="0.3">
      <c r="S3221" s="6"/>
    </row>
    <row r="3222" spans="19:19" x14ac:dyDescent="0.3">
      <c r="S3222" s="6"/>
    </row>
    <row r="3223" spans="19:19" x14ac:dyDescent="0.3">
      <c r="S3223" s="6"/>
    </row>
    <row r="3224" spans="19:19" x14ac:dyDescent="0.3">
      <c r="S3224" s="6"/>
    </row>
    <row r="3225" spans="19:19" x14ac:dyDescent="0.3">
      <c r="S3225" s="6"/>
    </row>
    <row r="3226" spans="19:19" x14ac:dyDescent="0.3">
      <c r="S3226" s="6"/>
    </row>
    <row r="3227" spans="19:19" x14ac:dyDescent="0.3">
      <c r="S3227" s="6"/>
    </row>
    <row r="3228" spans="19:19" x14ac:dyDescent="0.3">
      <c r="S3228" s="6"/>
    </row>
    <row r="3229" spans="19:19" x14ac:dyDescent="0.3">
      <c r="S3229" s="6"/>
    </row>
    <row r="3230" spans="19:19" x14ac:dyDescent="0.3">
      <c r="S3230" s="6"/>
    </row>
    <row r="3231" spans="19:19" x14ac:dyDescent="0.3">
      <c r="S3231" s="6"/>
    </row>
    <row r="3232" spans="19:19" x14ac:dyDescent="0.3">
      <c r="S3232" s="6"/>
    </row>
    <row r="3233" spans="19:19" x14ac:dyDescent="0.3">
      <c r="S3233" s="6"/>
    </row>
    <row r="3234" spans="19:19" x14ac:dyDescent="0.3">
      <c r="S3234" s="6"/>
    </row>
    <row r="3235" spans="19:19" x14ac:dyDescent="0.3">
      <c r="S3235" s="6"/>
    </row>
    <row r="3236" spans="19:19" x14ac:dyDescent="0.3">
      <c r="S3236" s="6"/>
    </row>
    <row r="3237" spans="19:19" x14ac:dyDescent="0.3">
      <c r="S3237" s="6"/>
    </row>
    <row r="3238" spans="19:19" x14ac:dyDescent="0.3">
      <c r="S3238" s="6"/>
    </row>
    <row r="3239" spans="19:19" x14ac:dyDescent="0.3">
      <c r="S3239" s="6"/>
    </row>
    <row r="3240" spans="19:19" x14ac:dyDescent="0.3">
      <c r="S3240" s="6"/>
    </row>
    <row r="3241" spans="19:19" x14ac:dyDescent="0.3">
      <c r="S3241" s="6"/>
    </row>
    <row r="3242" spans="19:19" x14ac:dyDescent="0.3">
      <c r="S3242" s="6"/>
    </row>
    <row r="3243" spans="19:19" x14ac:dyDescent="0.3">
      <c r="S3243" s="6"/>
    </row>
    <row r="3244" spans="19:19" x14ac:dyDescent="0.3">
      <c r="S3244" s="6"/>
    </row>
    <row r="3245" spans="19:19" x14ac:dyDescent="0.3">
      <c r="S3245" s="6"/>
    </row>
    <row r="3246" spans="19:19" x14ac:dyDescent="0.3">
      <c r="S3246" s="6"/>
    </row>
    <row r="3247" spans="19:19" x14ac:dyDescent="0.3">
      <c r="S3247" s="6"/>
    </row>
    <row r="3248" spans="19:19" x14ac:dyDescent="0.3">
      <c r="S3248" s="6"/>
    </row>
    <row r="3249" spans="19:19" x14ac:dyDescent="0.3">
      <c r="S3249" s="6"/>
    </row>
    <row r="3250" spans="19:19" x14ac:dyDescent="0.3">
      <c r="S3250" s="6"/>
    </row>
    <row r="3251" spans="19:19" x14ac:dyDescent="0.3">
      <c r="S3251" s="6"/>
    </row>
    <row r="3252" spans="19:19" x14ac:dyDescent="0.3">
      <c r="S3252" s="6"/>
    </row>
    <row r="3253" spans="19:19" x14ac:dyDescent="0.3">
      <c r="S3253" s="6"/>
    </row>
    <row r="3254" spans="19:19" x14ac:dyDescent="0.3">
      <c r="S3254" s="6"/>
    </row>
    <row r="3255" spans="19:19" x14ac:dyDescent="0.3">
      <c r="S3255" s="6"/>
    </row>
    <row r="3256" spans="19:19" x14ac:dyDescent="0.3">
      <c r="S3256" s="6"/>
    </row>
    <row r="3257" spans="19:19" x14ac:dyDescent="0.3">
      <c r="S3257" s="6"/>
    </row>
    <row r="3258" spans="19:19" x14ac:dyDescent="0.3">
      <c r="S3258" s="6"/>
    </row>
    <row r="3259" spans="19:19" x14ac:dyDescent="0.3">
      <c r="S3259" s="6"/>
    </row>
    <row r="3260" spans="19:19" x14ac:dyDescent="0.3">
      <c r="S3260" s="6"/>
    </row>
    <row r="3261" spans="19:19" x14ac:dyDescent="0.3">
      <c r="S3261" s="6"/>
    </row>
    <row r="3262" spans="19:19" x14ac:dyDescent="0.3">
      <c r="S3262" s="6"/>
    </row>
    <row r="3263" spans="19:19" x14ac:dyDescent="0.3">
      <c r="S3263" s="6"/>
    </row>
    <row r="3264" spans="19:19" x14ac:dyDescent="0.3">
      <c r="S3264" s="6"/>
    </row>
    <row r="3265" spans="19:19" x14ac:dyDescent="0.3">
      <c r="S3265" s="6"/>
    </row>
    <row r="3266" spans="19:19" x14ac:dyDescent="0.3">
      <c r="S3266" s="6"/>
    </row>
    <row r="3267" spans="19:19" x14ac:dyDescent="0.3">
      <c r="S3267" s="6"/>
    </row>
    <row r="3268" spans="19:19" x14ac:dyDescent="0.3">
      <c r="S3268" s="6"/>
    </row>
    <row r="3269" spans="19:19" x14ac:dyDescent="0.3">
      <c r="S3269" s="6"/>
    </row>
    <row r="3270" spans="19:19" x14ac:dyDescent="0.3">
      <c r="S3270" s="6"/>
    </row>
    <row r="3271" spans="19:19" x14ac:dyDescent="0.3">
      <c r="S3271" s="6"/>
    </row>
    <row r="3272" spans="19:19" x14ac:dyDescent="0.3">
      <c r="S3272" s="6"/>
    </row>
    <row r="3273" spans="19:19" x14ac:dyDescent="0.3">
      <c r="S3273" s="6"/>
    </row>
    <row r="3274" spans="19:19" x14ac:dyDescent="0.3">
      <c r="S3274" s="6"/>
    </row>
    <row r="3275" spans="19:19" x14ac:dyDescent="0.3">
      <c r="S3275" s="6"/>
    </row>
    <row r="3276" spans="19:19" x14ac:dyDescent="0.3">
      <c r="S3276" s="6"/>
    </row>
    <row r="3277" spans="19:19" x14ac:dyDescent="0.3">
      <c r="S3277" s="6"/>
    </row>
    <row r="3278" spans="19:19" x14ac:dyDescent="0.3">
      <c r="S3278" s="6"/>
    </row>
    <row r="3279" spans="19:19" x14ac:dyDescent="0.3">
      <c r="S3279" s="6"/>
    </row>
    <row r="3280" spans="19:19" x14ac:dyDescent="0.3">
      <c r="S3280" s="6"/>
    </row>
    <row r="3281" spans="19:19" x14ac:dyDescent="0.3">
      <c r="S3281" s="6"/>
    </row>
    <row r="3282" spans="19:19" x14ac:dyDescent="0.3">
      <c r="S3282" s="6"/>
    </row>
    <row r="3283" spans="19:19" x14ac:dyDescent="0.3">
      <c r="S3283" s="6"/>
    </row>
    <row r="3284" spans="19:19" x14ac:dyDescent="0.3">
      <c r="S3284" s="6"/>
    </row>
    <row r="3285" spans="19:19" x14ac:dyDescent="0.3">
      <c r="S3285" s="6"/>
    </row>
    <row r="3286" spans="19:19" x14ac:dyDescent="0.3">
      <c r="S3286" s="6"/>
    </row>
    <row r="3287" spans="19:19" x14ac:dyDescent="0.3">
      <c r="S3287" s="6"/>
    </row>
    <row r="3288" spans="19:19" x14ac:dyDescent="0.3">
      <c r="S3288" s="6"/>
    </row>
    <row r="3289" spans="19:19" x14ac:dyDescent="0.3">
      <c r="S3289" s="6"/>
    </row>
    <row r="3290" spans="19:19" x14ac:dyDescent="0.3">
      <c r="S3290" s="6"/>
    </row>
    <row r="3291" spans="19:19" x14ac:dyDescent="0.3">
      <c r="S3291" s="6"/>
    </row>
    <row r="3292" spans="19:19" x14ac:dyDescent="0.3">
      <c r="S3292" s="6"/>
    </row>
    <row r="3293" spans="19:19" x14ac:dyDescent="0.3">
      <c r="S3293" s="6"/>
    </row>
    <row r="3294" spans="19:19" x14ac:dyDescent="0.3">
      <c r="S3294" s="6"/>
    </row>
    <row r="3295" spans="19:19" x14ac:dyDescent="0.3">
      <c r="S3295" s="6"/>
    </row>
    <row r="3296" spans="19:19" x14ac:dyDescent="0.3">
      <c r="S3296" s="6"/>
    </row>
    <row r="3297" spans="19:19" x14ac:dyDescent="0.3">
      <c r="S3297" s="6"/>
    </row>
    <row r="3298" spans="19:19" x14ac:dyDescent="0.3">
      <c r="S3298" s="6"/>
    </row>
    <row r="3299" spans="19:19" x14ac:dyDescent="0.3">
      <c r="S3299" s="6"/>
    </row>
    <row r="3300" spans="19:19" x14ac:dyDescent="0.3">
      <c r="S3300" s="6"/>
    </row>
    <row r="3301" spans="19:19" x14ac:dyDescent="0.3">
      <c r="S3301" s="6"/>
    </row>
    <row r="3302" spans="19:19" x14ac:dyDescent="0.3">
      <c r="S3302" s="6"/>
    </row>
    <row r="3303" spans="19:19" x14ac:dyDescent="0.3">
      <c r="S3303" s="6"/>
    </row>
    <row r="3304" spans="19:19" x14ac:dyDescent="0.3">
      <c r="S3304" s="6"/>
    </row>
    <row r="3305" spans="19:19" x14ac:dyDescent="0.3">
      <c r="S3305" s="6"/>
    </row>
    <row r="3306" spans="19:19" x14ac:dyDescent="0.3">
      <c r="S3306" s="6"/>
    </row>
    <row r="3307" spans="19:19" x14ac:dyDescent="0.3">
      <c r="S3307" s="6"/>
    </row>
    <row r="3308" spans="19:19" x14ac:dyDescent="0.3">
      <c r="S3308" s="6"/>
    </row>
    <row r="3309" spans="19:19" x14ac:dyDescent="0.3">
      <c r="S3309" s="6"/>
    </row>
    <row r="3310" spans="19:19" x14ac:dyDescent="0.3">
      <c r="S3310" s="6"/>
    </row>
    <row r="3311" spans="19:19" x14ac:dyDescent="0.3">
      <c r="S3311" s="6"/>
    </row>
    <row r="3312" spans="19:19" x14ac:dyDescent="0.3">
      <c r="S3312" s="6"/>
    </row>
    <row r="3313" spans="19:19" x14ac:dyDescent="0.3">
      <c r="S3313" s="6"/>
    </row>
    <row r="3314" spans="19:19" x14ac:dyDescent="0.3">
      <c r="S3314" s="6"/>
    </row>
    <row r="3315" spans="19:19" x14ac:dyDescent="0.3">
      <c r="S3315" s="6"/>
    </row>
    <row r="3316" spans="19:19" x14ac:dyDescent="0.3">
      <c r="S3316" s="6"/>
    </row>
    <row r="3317" spans="19:19" x14ac:dyDescent="0.3">
      <c r="S3317" s="6"/>
    </row>
    <row r="3318" spans="19:19" x14ac:dyDescent="0.3">
      <c r="S3318" s="6"/>
    </row>
    <row r="3319" spans="19:19" x14ac:dyDescent="0.3">
      <c r="S3319" s="6"/>
    </row>
    <row r="3320" spans="19:19" x14ac:dyDescent="0.3">
      <c r="S3320" s="6"/>
    </row>
    <row r="3321" spans="19:19" x14ac:dyDescent="0.3">
      <c r="S3321" s="6"/>
    </row>
    <row r="3322" spans="19:19" x14ac:dyDescent="0.3">
      <c r="S3322" s="6"/>
    </row>
    <row r="3323" spans="19:19" x14ac:dyDescent="0.3">
      <c r="S3323" s="6"/>
    </row>
    <row r="3324" spans="19:19" x14ac:dyDescent="0.3">
      <c r="S3324" s="6"/>
    </row>
    <row r="3325" spans="19:19" x14ac:dyDescent="0.3">
      <c r="S3325" s="6"/>
    </row>
    <row r="3326" spans="19:19" x14ac:dyDescent="0.3">
      <c r="S3326" s="6"/>
    </row>
    <row r="3327" spans="19:19" x14ac:dyDescent="0.3">
      <c r="S3327" s="6"/>
    </row>
    <row r="3328" spans="19:19" x14ac:dyDescent="0.3">
      <c r="S3328" s="6"/>
    </row>
    <row r="3329" spans="19:19" x14ac:dyDescent="0.3">
      <c r="S3329" s="6"/>
    </row>
    <row r="3330" spans="19:19" x14ac:dyDescent="0.3">
      <c r="S3330" s="6"/>
    </row>
    <row r="3331" spans="19:19" x14ac:dyDescent="0.3">
      <c r="S3331" s="6"/>
    </row>
    <row r="3332" spans="19:19" x14ac:dyDescent="0.3">
      <c r="S3332" s="6"/>
    </row>
    <row r="3333" spans="19:19" x14ac:dyDescent="0.3">
      <c r="S3333" s="6"/>
    </row>
    <row r="3334" spans="19:19" x14ac:dyDescent="0.3">
      <c r="S3334" s="6"/>
    </row>
    <row r="3335" spans="19:19" x14ac:dyDescent="0.3">
      <c r="S3335" s="6"/>
    </row>
    <row r="3336" spans="19:19" x14ac:dyDescent="0.3">
      <c r="S3336" s="6"/>
    </row>
    <row r="3337" spans="19:19" x14ac:dyDescent="0.3">
      <c r="S3337" s="6"/>
    </row>
    <row r="3338" spans="19:19" x14ac:dyDescent="0.3">
      <c r="S3338" s="6"/>
    </row>
    <row r="3339" spans="19:19" x14ac:dyDescent="0.3">
      <c r="S3339" s="6"/>
    </row>
    <row r="3340" spans="19:19" x14ac:dyDescent="0.3">
      <c r="S3340" s="6"/>
    </row>
    <row r="3341" spans="19:19" x14ac:dyDescent="0.3">
      <c r="S3341" s="6"/>
    </row>
    <row r="3342" spans="19:19" x14ac:dyDescent="0.3">
      <c r="S3342" s="6"/>
    </row>
    <row r="3343" spans="19:19" x14ac:dyDescent="0.3">
      <c r="S3343" s="6"/>
    </row>
    <row r="3344" spans="19:19" x14ac:dyDescent="0.3">
      <c r="S3344" s="6"/>
    </row>
    <row r="3345" spans="19:19" x14ac:dyDescent="0.3">
      <c r="S3345" s="6"/>
    </row>
    <row r="3346" spans="19:19" x14ac:dyDescent="0.3">
      <c r="S3346" s="6"/>
    </row>
    <row r="3347" spans="19:19" x14ac:dyDescent="0.3">
      <c r="S3347" s="6"/>
    </row>
    <row r="3348" spans="19:19" x14ac:dyDescent="0.3">
      <c r="S3348" s="6"/>
    </row>
    <row r="3349" spans="19:19" x14ac:dyDescent="0.3">
      <c r="S3349" s="6"/>
    </row>
    <row r="3350" spans="19:19" x14ac:dyDescent="0.3">
      <c r="S3350" s="6"/>
    </row>
    <row r="3351" spans="19:19" x14ac:dyDescent="0.3">
      <c r="S3351" s="6"/>
    </row>
    <row r="3352" spans="19:19" x14ac:dyDescent="0.3">
      <c r="S3352" s="6"/>
    </row>
    <row r="3353" spans="19:19" x14ac:dyDescent="0.3">
      <c r="S3353" s="6"/>
    </row>
    <row r="3354" spans="19:19" x14ac:dyDescent="0.3">
      <c r="S3354" s="6"/>
    </row>
    <row r="3355" spans="19:19" x14ac:dyDescent="0.3">
      <c r="S3355" s="6"/>
    </row>
    <row r="3356" spans="19:19" x14ac:dyDescent="0.3">
      <c r="S3356" s="6"/>
    </row>
    <row r="3357" spans="19:19" x14ac:dyDescent="0.3">
      <c r="S3357" s="6"/>
    </row>
    <row r="3358" spans="19:19" x14ac:dyDescent="0.3">
      <c r="S3358" s="6"/>
    </row>
    <row r="3359" spans="19:19" x14ac:dyDescent="0.3">
      <c r="S3359" s="6"/>
    </row>
    <row r="3360" spans="19:19" x14ac:dyDescent="0.3">
      <c r="S3360" s="6"/>
    </row>
    <row r="3361" spans="19:19" x14ac:dyDescent="0.3">
      <c r="S3361" s="6"/>
    </row>
    <row r="3362" spans="19:19" x14ac:dyDescent="0.3">
      <c r="S3362" s="6"/>
    </row>
    <row r="3363" spans="19:19" x14ac:dyDescent="0.3">
      <c r="S3363" s="6"/>
    </row>
    <row r="3364" spans="19:19" x14ac:dyDescent="0.3">
      <c r="S3364" s="6"/>
    </row>
    <row r="3365" spans="19:19" x14ac:dyDescent="0.3">
      <c r="S3365" s="6"/>
    </row>
    <row r="3366" spans="19:19" x14ac:dyDescent="0.3">
      <c r="S3366" s="6"/>
    </row>
    <row r="3367" spans="19:19" x14ac:dyDescent="0.3">
      <c r="S3367" s="6"/>
    </row>
    <row r="3368" spans="19:19" x14ac:dyDescent="0.3">
      <c r="S3368" s="6"/>
    </row>
    <row r="3369" spans="19:19" x14ac:dyDescent="0.3">
      <c r="S3369" s="6"/>
    </row>
    <row r="3370" spans="19:19" x14ac:dyDescent="0.3">
      <c r="S3370" s="6"/>
    </row>
    <row r="3371" spans="19:19" x14ac:dyDescent="0.3">
      <c r="S3371" s="6"/>
    </row>
    <row r="3372" spans="19:19" x14ac:dyDescent="0.3">
      <c r="S3372" s="6"/>
    </row>
    <row r="3373" spans="19:19" x14ac:dyDescent="0.3">
      <c r="S3373" s="6"/>
    </row>
    <row r="3374" spans="19:19" x14ac:dyDescent="0.3">
      <c r="S3374" s="6"/>
    </row>
    <row r="3375" spans="19:19" x14ac:dyDescent="0.3">
      <c r="S3375" s="6"/>
    </row>
    <row r="3376" spans="19:19" x14ac:dyDescent="0.3">
      <c r="S3376" s="6"/>
    </row>
    <row r="3377" spans="19:19" x14ac:dyDescent="0.3">
      <c r="S3377" s="6"/>
    </row>
    <row r="3378" spans="19:19" x14ac:dyDescent="0.3">
      <c r="S3378" s="6"/>
    </row>
    <row r="3379" spans="19:19" x14ac:dyDescent="0.3">
      <c r="S3379" s="6"/>
    </row>
    <row r="3380" spans="19:19" x14ac:dyDescent="0.3">
      <c r="S3380" s="6"/>
    </row>
    <row r="3381" spans="19:19" x14ac:dyDescent="0.3">
      <c r="S3381" s="6"/>
    </row>
    <row r="3382" spans="19:19" x14ac:dyDescent="0.3">
      <c r="S3382" s="6"/>
    </row>
    <row r="3383" spans="19:19" x14ac:dyDescent="0.3">
      <c r="S3383" s="6"/>
    </row>
    <row r="3384" spans="19:19" x14ac:dyDescent="0.3">
      <c r="S3384" s="6"/>
    </row>
    <row r="3385" spans="19:19" x14ac:dyDescent="0.3">
      <c r="S3385" s="6"/>
    </row>
    <row r="3386" spans="19:19" x14ac:dyDescent="0.3">
      <c r="S3386" s="6"/>
    </row>
    <row r="3387" spans="19:19" x14ac:dyDescent="0.3">
      <c r="S3387" s="6"/>
    </row>
    <row r="3388" spans="19:19" x14ac:dyDescent="0.3">
      <c r="S3388" s="6"/>
    </row>
    <row r="3389" spans="19:19" x14ac:dyDescent="0.3">
      <c r="S3389" s="6"/>
    </row>
    <row r="3390" spans="19:19" x14ac:dyDescent="0.3">
      <c r="S3390" s="6"/>
    </row>
    <row r="3391" spans="19:19" x14ac:dyDescent="0.3">
      <c r="S3391" s="6"/>
    </row>
    <row r="3392" spans="19:19" x14ac:dyDescent="0.3">
      <c r="S3392" s="6"/>
    </row>
    <row r="3393" spans="19:19" x14ac:dyDescent="0.3">
      <c r="S3393" s="6"/>
    </row>
    <row r="3394" spans="19:19" x14ac:dyDescent="0.3">
      <c r="S3394" s="6"/>
    </row>
    <row r="3395" spans="19:19" x14ac:dyDescent="0.3">
      <c r="S3395" s="6"/>
    </row>
    <row r="3396" spans="19:19" x14ac:dyDescent="0.3">
      <c r="S3396" s="6"/>
    </row>
    <row r="3397" spans="19:19" x14ac:dyDescent="0.3">
      <c r="S3397" s="6"/>
    </row>
    <row r="3398" spans="19:19" x14ac:dyDescent="0.3">
      <c r="S3398" s="6"/>
    </row>
    <row r="3399" spans="19:19" x14ac:dyDescent="0.3">
      <c r="S3399" s="6"/>
    </row>
    <row r="3400" spans="19:19" x14ac:dyDescent="0.3">
      <c r="S3400" s="6"/>
    </row>
    <row r="3401" spans="19:19" x14ac:dyDescent="0.3">
      <c r="S3401" s="6"/>
    </row>
    <row r="3402" spans="19:19" x14ac:dyDescent="0.3">
      <c r="S3402" s="6"/>
    </row>
    <row r="3403" spans="19:19" x14ac:dyDescent="0.3">
      <c r="S3403" s="6"/>
    </row>
    <row r="3404" spans="19:19" x14ac:dyDescent="0.3">
      <c r="S3404" s="6"/>
    </row>
    <row r="3405" spans="19:19" x14ac:dyDescent="0.3">
      <c r="S3405" s="6"/>
    </row>
    <row r="3406" spans="19:19" x14ac:dyDescent="0.3">
      <c r="S3406" s="6"/>
    </row>
    <row r="3407" spans="19:19" x14ac:dyDescent="0.3">
      <c r="S3407" s="6"/>
    </row>
    <row r="3408" spans="19:19" x14ac:dyDescent="0.3">
      <c r="S3408" s="6"/>
    </row>
    <row r="3409" spans="19:19" x14ac:dyDescent="0.3">
      <c r="S3409" s="6"/>
    </row>
    <row r="3410" spans="19:19" x14ac:dyDescent="0.3">
      <c r="S3410" s="6"/>
    </row>
    <row r="3411" spans="19:19" x14ac:dyDescent="0.3">
      <c r="S3411" s="6"/>
    </row>
    <row r="3412" spans="19:19" x14ac:dyDescent="0.3">
      <c r="S3412" s="6"/>
    </row>
    <row r="3413" spans="19:19" x14ac:dyDescent="0.3">
      <c r="S3413" s="6"/>
    </row>
    <row r="3414" spans="19:19" x14ac:dyDescent="0.3">
      <c r="S3414" s="6"/>
    </row>
    <row r="3415" spans="19:19" x14ac:dyDescent="0.3">
      <c r="S3415" s="6"/>
    </row>
    <row r="3416" spans="19:19" x14ac:dyDescent="0.3">
      <c r="S3416" s="6"/>
    </row>
    <row r="3417" spans="19:19" x14ac:dyDescent="0.3">
      <c r="S3417" s="6"/>
    </row>
    <row r="3418" spans="19:19" x14ac:dyDescent="0.3">
      <c r="S3418" s="6"/>
    </row>
    <row r="3419" spans="19:19" x14ac:dyDescent="0.3">
      <c r="S3419" s="6"/>
    </row>
    <row r="3420" spans="19:19" x14ac:dyDescent="0.3">
      <c r="S3420" s="6"/>
    </row>
    <row r="3421" spans="19:19" x14ac:dyDescent="0.3">
      <c r="S3421" s="6"/>
    </row>
    <row r="3422" spans="19:19" x14ac:dyDescent="0.3">
      <c r="S3422" s="6"/>
    </row>
    <row r="3423" spans="19:19" x14ac:dyDescent="0.3">
      <c r="S3423" s="6"/>
    </row>
    <row r="3424" spans="19:19" x14ac:dyDescent="0.3">
      <c r="S3424" s="6"/>
    </row>
    <row r="3425" spans="19:19" x14ac:dyDescent="0.3">
      <c r="S3425" s="6"/>
    </row>
    <row r="3426" spans="19:19" x14ac:dyDescent="0.3">
      <c r="S3426" s="6"/>
    </row>
    <row r="3427" spans="19:19" x14ac:dyDescent="0.3">
      <c r="S3427" s="6"/>
    </row>
    <row r="3428" spans="19:19" x14ac:dyDescent="0.3">
      <c r="S3428" s="6"/>
    </row>
    <row r="3429" spans="19:19" x14ac:dyDescent="0.3">
      <c r="S3429" s="6"/>
    </row>
    <row r="3430" spans="19:19" x14ac:dyDescent="0.3">
      <c r="S3430" s="6"/>
    </row>
    <row r="3431" spans="19:19" x14ac:dyDescent="0.3">
      <c r="S3431" s="6"/>
    </row>
    <row r="3432" spans="19:19" x14ac:dyDescent="0.3">
      <c r="S3432" s="6"/>
    </row>
    <row r="3433" spans="19:19" x14ac:dyDescent="0.3">
      <c r="S3433" s="6"/>
    </row>
    <row r="3434" spans="19:19" x14ac:dyDescent="0.3">
      <c r="S3434" s="6"/>
    </row>
    <row r="3435" spans="19:19" x14ac:dyDescent="0.3">
      <c r="S3435" s="6"/>
    </row>
    <row r="3436" spans="19:19" x14ac:dyDescent="0.3">
      <c r="S3436" s="6"/>
    </row>
    <row r="3437" spans="19:19" x14ac:dyDescent="0.3">
      <c r="S3437" s="6"/>
    </row>
    <row r="3438" spans="19:19" x14ac:dyDescent="0.3">
      <c r="S3438" s="6"/>
    </row>
    <row r="3439" spans="19:19" x14ac:dyDescent="0.3">
      <c r="S3439" s="6"/>
    </row>
    <row r="3440" spans="19:19" x14ac:dyDescent="0.3">
      <c r="S3440" s="6"/>
    </row>
    <row r="3441" spans="19:19" x14ac:dyDescent="0.3">
      <c r="S3441" s="6"/>
    </row>
    <row r="3442" spans="19:19" x14ac:dyDescent="0.3">
      <c r="S3442" s="6"/>
    </row>
    <row r="3443" spans="19:19" x14ac:dyDescent="0.3">
      <c r="S3443" s="6"/>
    </row>
    <row r="3444" spans="19:19" x14ac:dyDescent="0.3">
      <c r="S3444" s="6"/>
    </row>
    <row r="3445" spans="19:19" x14ac:dyDescent="0.3">
      <c r="S3445" s="6"/>
    </row>
    <row r="3446" spans="19:19" x14ac:dyDescent="0.3">
      <c r="S3446" s="6"/>
    </row>
    <row r="3447" spans="19:19" x14ac:dyDescent="0.3">
      <c r="S3447" s="6"/>
    </row>
    <row r="3448" spans="19:19" x14ac:dyDescent="0.3">
      <c r="S3448" s="6"/>
    </row>
    <row r="3449" spans="19:19" x14ac:dyDescent="0.3">
      <c r="S3449" s="6"/>
    </row>
    <row r="3450" spans="19:19" x14ac:dyDescent="0.3">
      <c r="S3450" s="6"/>
    </row>
    <row r="3451" spans="19:19" x14ac:dyDescent="0.3">
      <c r="S3451" s="6"/>
    </row>
    <row r="3452" spans="19:19" x14ac:dyDescent="0.3">
      <c r="S3452" s="6"/>
    </row>
    <row r="3453" spans="19:19" x14ac:dyDescent="0.3">
      <c r="S3453" s="6"/>
    </row>
    <row r="3454" spans="19:19" x14ac:dyDescent="0.3">
      <c r="S3454" s="6"/>
    </row>
    <row r="3455" spans="19:19" x14ac:dyDescent="0.3">
      <c r="S3455" s="6"/>
    </row>
    <row r="3456" spans="19:19" x14ac:dyDescent="0.3">
      <c r="S3456" s="6"/>
    </row>
    <row r="3457" spans="19:19" x14ac:dyDescent="0.3">
      <c r="S3457" s="6"/>
    </row>
    <row r="3458" spans="19:19" x14ac:dyDescent="0.3">
      <c r="S3458" s="6"/>
    </row>
    <row r="3459" spans="19:19" x14ac:dyDescent="0.3">
      <c r="S3459" s="6"/>
    </row>
    <row r="3460" spans="19:19" x14ac:dyDescent="0.3">
      <c r="S3460" s="6"/>
    </row>
    <row r="3461" spans="19:19" x14ac:dyDescent="0.3">
      <c r="S3461" s="6"/>
    </row>
    <row r="3462" spans="19:19" x14ac:dyDescent="0.3">
      <c r="S3462" s="6"/>
    </row>
    <row r="3463" spans="19:19" x14ac:dyDescent="0.3">
      <c r="S3463" s="6"/>
    </row>
    <row r="3464" spans="19:19" x14ac:dyDescent="0.3">
      <c r="S3464" s="6"/>
    </row>
    <row r="3465" spans="19:19" x14ac:dyDescent="0.3">
      <c r="S3465" s="6"/>
    </row>
    <row r="3466" spans="19:19" x14ac:dyDescent="0.3">
      <c r="S3466" s="6"/>
    </row>
    <row r="3467" spans="19:19" x14ac:dyDescent="0.3">
      <c r="S3467" s="6"/>
    </row>
    <row r="3468" spans="19:19" x14ac:dyDescent="0.3">
      <c r="S3468" s="6"/>
    </row>
    <row r="3469" spans="19:19" x14ac:dyDescent="0.3">
      <c r="S3469" s="6"/>
    </row>
    <row r="3470" spans="19:19" x14ac:dyDescent="0.3">
      <c r="S3470" s="6"/>
    </row>
    <row r="3471" spans="19:19" x14ac:dyDescent="0.3">
      <c r="S3471" s="6"/>
    </row>
    <row r="3472" spans="19:19" x14ac:dyDescent="0.3">
      <c r="S3472" s="6"/>
    </row>
    <row r="3473" spans="19:19" x14ac:dyDescent="0.3">
      <c r="S3473" s="6"/>
    </row>
    <row r="3474" spans="19:19" x14ac:dyDescent="0.3">
      <c r="S3474" s="6"/>
    </row>
    <row r="3475" spans="19:19" x14ac:dyDescent="0.3">
      <c r="S3475" s="6"/>
    </row>
    <row r="3476" spans="19:19" x14ac:dyDescent="0.3">
      <c r="S3476" s="6"/>
    </row>
    <row r="3477" spans="19:19" x14ac:dyDescent="0.3">
      <c r="S3477" s="6"/>
    </row>
    <row r="3478" spans="19:19" x14ac:dyDescent="0.3">
      <c r="S3478" s="6"/>
    </row>
    <row r="3479" spans="19:19" x14ac:dyDescent="0.3">
      <c r="S3479" s="6"/>
    </row>
    <row r="3480" spans="19:19" x14ac:dyDescent="0.3">
      <c r="S3480" s="6"/>
    </row>
    <row r="3481" spans="19:19" x14ac:dyDescent="0.3">
      <c r="S3481" s="6"/>
    </row>
    <row r="3482" spans="19:19" x14ac:dyDescent="0.3">
      <c r="S3482" s="6"/>
    </row>
    <row r="3483" spans="19:19" x14ac:dyDescent="0.3">
      <c r="S3483" s="6"/>
    </row>
    <row r="3484" spans="19:19" x14ac:dyDescent="0.3">
      <c r="S3484" s="6"/>
    </row>
    <row r="3485" spans="19:19" x14ac:dyDescent="0.3">
      <c r="S3485" s="6"/>
    </row>
    <row r="3486" spans="19:19" x14ac:dyDescent="0.3">
      <c r="S3486" s="6"/>
    </row>
    <row r="3487" spans="19:19" x14ac:dyDescent="0.3">
      <c r="S3487" s="6"/>
    </row>
    <row r="3488" spans="19:19" x14ac:dyDescent="0.3">
      <c r="S3488" s="6"/>
    </row>
    <row r="3489" spans="19:19" x14ac:dyDescent="0.3">
      <c r="S3489" s="6"/>
    </row>
    <row r="3490" spans="19:19" x14ac:dyDescent="0.3">
      <c r="S3490" s="6"/>
    </row>
    <row r="3491" spans="19:19" x14ac:dyDescent="0.3">
      <c r="S3491" s="6"/>
    </row>
    <row r="3492" spans="19:19" x14ac:dyDescent="0.3">
      <c r="S3492" s="6"/>
    </row>
    <row r="3493" spans="19:19" x14ac:dyDescent="0.3">
      <c r="S3493" s="6"/>
    </row>
    <row r="3494" spans="19:19" x14ac:dyDescent="0.3">
      <c r="S3494" s="6"/>
    </row>
    <row r="3495" spans="19:19" x14ac:dyDescent="0.3">
      <c r="S3495" s="6"/>
    </row>
    <row r="3496" spans="19:19" x14ac:dyDescent="0.3">
      <c r="S3496" s="6"/>
    </row>
    <row r="3497" spans="19:19" x14ac:dyDescent="0.3">
      <c r="S3497" s="6"/>
    </row>
    <row r="3498" spans="19:19" x14ac:dyDescent="0.3">
      <c r="S3498" s="6"/>
    </row>
    <row r="3499" spans="19:19" x14ac:dyDescent="0.3">
      <c r="S3499" s="6"/>
    </row>
    <row r="3500" spans="19:19" x14ac:dyDescent="0.3">
      <c r="S3500" s="6"/>
    </row>
    <row r="3501" spans="19:19" x14ac:dyDescent="0.3">
      <c r="S3501" s="6"/>
    </row>
    <row r="3502" spans="19:19" x14ac:dyDescent="0.3">
      <c r="S3502" s="6"/>
    </row>
    <row r="3503" spans="19:19" x14ac:dyDescent="0.3">
      <c r="S3503" s="6"/>
    </row>
    <row r="3504" spans="19:19" x14ac:dyDescent="0.3">
      <c r="S3504" s="6"/>
    </row>
    <row r="3505" spans="19:19" x14ac:dyDescent="0.3">
      <c r="S3505" s="6"/>
    </row>
    <row r="3506" spans="19:19" x14ac:dyDescent="0.3">
      <c r="S3506" s="6"/>
    </row>
    <row r="3507" spans="19:19" x14ac:dyDescent="0.3">
      <c r="S3507" s="6"/>
    </row>
    <row r="3508" spans="19:19" x14ac:dyDescent="0.3">
      <c r="S3508" s="6"/>
    </row>
    <row r="3509" spans="19:19" x14ac:dyDescent="0.3">
      <c r="S3509" s="6"/>
    </row>
    <row r="3510" spans="19:19" x14ac:dyDescent="0.3">
      <c r="S3510" s="6"/>
    </row>
    <row r="3511" spans="19:19" x14ac:dyDescent="0.3">
      <c r="S3511" s="6"/>
    </row>
    <row r="3512" spans="19:19" x14ac:dyDescent="0.3">
      <c r="S3512" s="6"/>
    </row>
    <row r="3513" spans="19:19" x14ac:dyDescent="0.3">
      <c r="S3513" s="6"/>
    </row>
    <row r="3514" spans="19:19" x14ac:dyDescent="0.3">
      <c r="S3514" s="6"/>
    </row>
    <row r="3515" spans="19:19" x14ac:dyDescent="0.3">
      <c r="S3515" s="6"/>
    </row>
    <row r="3516" spans="19:19" x14ac:dyDescent="0.3">
      <c r="S3516" s="6"/>
    </row>
    <row r="3517" spans="19:19" x14ac:dyDescent="0.3">
      <c r="S3517" s="6"/>
    </row>
    <row r="3518" spans="19:19" x14ac:dyDescent="0.3">
      <c r="S3518" s="6"/>
    </row>
    <row r="3519" spans="19:19" x14ac:dyDescent="0.3">
      <c r="S3519" s="6"/>
    </row>
    <row r="3520" spans="19:19" x14ac:dyDescent="0.3">
      <c r="S3520" s="6"/>
    </row>
    <row r="3521" spans="19:19" x14ac:dyDescent="0.3">
      <c r="S3521" s="6"/>
    </row>
    <row r="3522" spans="19:19" x14ac:dyDescent="0.3">
      <c r="S3522" s="6"/>
    </row>
    <row r="3523" spans="19:19" x14ac:dyDescent="0.3">
      <c r="S3523" s="6"/>
    </row>
    <row r="3524" spans="19:19" x14ac:dyDescent="0.3">
      <c r="S3524" s="6"/>
    </row>
    <row r="3525" spans="19:19" x14ac:dyDescent="0.3">
      <c r="S3525" s="6"/>
    </row>
    <row r="3526" spans="19:19" x14ac:dyDescent="0.3">
      <c r="S3526" s="6"/>
    </row>
    <row r="3527" spans="19:19" x14ac:dyDescent="0.3">
      <c r="S3527" s="6"/>
    </row>
    <row r="3528" spans="19:19" x14ac:dyDescent="0.3">
      <c r="S3528" s="6"/>
    </row>
    <row r="3529" spans="19:19" x14ac:dyDescent="0.3">
      <c r="S3529" s="6"/>
    </row>
    <row r="3530" spans="19:19" x14ac:dyDescent="0.3">
      <c r="S3530" s="6"/>
    </row>
    <row r="3531" spans="19:19" x14ac:dyDescent="0.3">
      <c r="S3531" s="6"/>
    </row>
    <row r="3532" spans="19:19" x14ac:dyDescent="0.3">
      <c r="S3532" s="6"/>
    </row>
    <row r="3533" spans="19:19" x14ac:dyDescent="0.3">
      <c r="S3533" s="6"/>
    </row>
    <row r="3534" spans="19:19" x14ac:dyDescent="0.3">
      <c r="S3534" s="6"/>
    </row>
    <row r="3535" spans="19:19" x14ac:dyDescent="0.3">
      <c r="S3535" s="6"/>
    </row>
    <row r="3536" spans="19:19" x14ac:dyDescent="0.3">
      <c r="S3536" s="6"/>
    </row>
    <row r="3537" spans="19:19" x14ac:dyDescent="0.3">
      <c r="S3537" s="6"/>
    </row>
    <row r="3538" spans="19:19" x14ac:dyDescent="0.3">
      <c r="S3538" s="6"/>
    </row>
    <row r="3539" spans="19:19" x14ac:dyDescent="0.3">
      <c r="S3539" s="6"/>
    </row>
    <row r="3540" spans="19:19" x14ac:dyDescent="0.3">
      <c r="S3540" s="6"/>
    </row>
    <row r="3541" spans="19:19" x14ac:dyDescent="0.3">
      <c r="S3541" s="6"/>
    </row>
    <row r="3542" spans="19:19" x14ac:dyDescent="0.3">
      <c r="S3542" s="6"/>
    </row>
    <row r="3543" spans="19:19" x14ac:dyDescent="0.3">
      <c r="S3543" s="6"/>
    </row>
    <row r="3544" spans="19:19" x14ac:dyDescent="0.3">
      <c r="S3544" s="6"/>
    </row>
    <row r="3545" spans="19:19" x14ac:dyDescent="0.3">
      <c r="S3545" s="6"/>
    </row>
    <row r="3546" spans="19:19" x14ac:dyDescent="0.3">
      <c r="S3546" s="6"/>
    </row>
    <row r="3547" spans="19:19" x14ac:dyDescent="0.3">
      <c r="S3547" s="6"/>
    </row>
    <row r="3548" spans="19:19" x14ac:dyDescent="0.3">
      <c r="S3548" s="6"/>
    </row>
    <row r="3549" spans="19:19" x14ac:dyDescent="0.3">
      <c r="S3549" s="6"/>
    </row>
    <row r="3550" spans="19:19" x14ac:dyDescent="0.3">
      <c r="S3550" s="6"/>
    </row>
    <row r="3551" spans="19:19" x14ac:dyDescent="0.3">
      <c r="S3551" s="6"/>
    </row>
    <row r="3552" spans="19:19" x14ac:dyDescent="0.3">
      <c r="S3552" s="6"/>
    </row>
    <row r="3553" spans="19:19" x14ac:dyDescent="0.3">
      <c r="S3553" s="6"/>
    </row>
    <row r="3554" spans="19:19" x14ac:dyDescent="0.3">
      <c r="S3554" s="6"/>
    </row>
    <row r="3555" spans="19:19" x14ac:dyDescent="0.3">
      <c r="S3555" s="6"/>
    </row>
    <row r="3556" spans="19:19" x14ac:dyDescent="0.3">
      <c r="S3556" s="6"/>
    </row>
    <row r="3557" spans="19:19" x14ac:dyDescent="0.3">
      <c r="S3557" s="6"/>
    </row>
    <row r="3558" spans="19:19" x14ac:dyDescent="0.3">
      <c r="S3558" s="6"/>
    </row>
    <row r="3559" spans="19:19" x14ac:dyDescent="0.3">
      <c r="S3559" s="6"/>
    </row>
    <row r="3560" spans="19:19" x14ac:dyDescent="0.3">
      <c r="S3560" s="6"/>
    </row>
    <row r="3561" spans="19:19" x14ac:dyDescent="0.3">
      <c r="S3561" s="6"/>
    </row>
    <row r="3562" spans="19:19" x14ac:dyDescent="0.3">
      <c r="S3562" s="6"/>
    </row>
    <row r="3563" spans="19:19" x14ac:dyDescent="0.3">
      <c r="S3563" s="6"/>
    </row>
    <row r="3564" spans="19:19" x14ac:dyDescent="0.3">
      <c r="S3564" s="6"/>
    </row>
    <row r="3565" spans="19:19" x14ac:dyDescent="0.3">
      <c r="S3565" s="6"/>
    </row>
    <row r="3566" spans="19:19" x14ac:dyDescent="0.3">
      <c r="S3566" s="6"/>
    </row>
    <row r="3567" spans="19:19" x14ac:dyDescent="0.3">
      <c r="S3567" s="6"/>
    </row>
    <row r="3568" spans="19:19" x14ac:dyDescent="0.3">
      <c r="S3568" s="6"/>
    </row>
    <row r="3569" spans="19:19" x14ac:dyDescent="0.3">
      <c r="S3569" s="6"/>
    </row>
    <row r="3570" spans="19:19" x14ac:dyDescent="0.3">
      <c r="S3570" s="6"/>
    </row>
    <row r="3571" spans="19:19" x14ac:dyDescent="0.3">
      <c r="S3571" s="6"/>
    </row>
    <row r="3572" spans="19:19" x14ac:dyDescent="0.3">
      <c r="S3572" s="6"/>
    </row>
    <row r="3573" spans="19:19" x14ac:dyDescent="0.3">
      <c r="S3573" s="6"/>
    </row>
    <row r="3574" spans="19:19" x14ac:dyDescent="0.3">
      <c r="S3574" s="6"/>
    </row>
    <row r="3575" spans="19:19" x14ac:dyDescent="0.3">
      <c r="S3575" s="6"/>
    </row>
    <row r="3576" spans="19:19" x14ac:dyDescent="0.3">
      <c r="S3576" s="6"/>
    </row>
    <row r="3577" spans="19:19" x14ac:dyDescent="0.3">
      <c r="S3577" s="6"/>
    </row>
    <row r="3578" spans="19:19" x14ac:dyDescent="0.3">
      <c r="S3578" s="6"/>
    </row>
    <row r="3579" spans="19:19" x14ac:dyDescent="0.3">
      <c r="S3579" s="6"/>
    </row>
    <row r="3580" spans="19:19" x14ac:dyDescent="0.3">
      <c r="S3580" s="6"/>
    </row>
    <row r="3581" spans="19:19" x14ac:dyDescent="0.3">
      <c r="S3581" s="6"/>
    </row>
    <row r="3582" spans="19:19" x14ac:dyDescent="0.3">
      <c r="S3582" s="6"/>
    </row>
    <row r="3583" spans="19:19" x14ac:dyDescent="0.3">
      <c r="S3583" s="6"/>
    </row>
    <row r="3584" spans="19:19" x14ac:dyDescent="0.3">
      <c r="S3584" s="6"/>
    </row>
    <row r="3585" spans="19:19" x14ac:dyDescent="0.3">
      <c r="S3585" s="6"/>
    </row>
    <row r="3586" spans="19:19" x14ac:dyDescent="0.3">
      <c r="S3586" s="6"/>
    </row>
    <row r="3587" spans="19:19" x14ac:dyDescent="0.3">
      <c r="S3587" s="6"/>
    </row>
    <row r="3588" spans="19:19" x14ac:dyDescent="0.3">
      <c r="S3588" s="6"/>
    </row>
    <row r="3589" spans="19:19" x14ac:dyDescent="0.3">
      <c r="S3589" s="6"/>
    </row>
    <row r="3590" spans="19:19" x14ac:dyDescent="0.3">
      <c r="S3590" s="6"/>
    </row>
    <row r="3591" spans="19:19" x14ac:dyDescent="0.3">
      <c r="S3591" s="6"/>
    </row>
    <row r="3592" spans="19:19" x14ac:dyDescent="0.3">
      <c r="S3592" s="6"/>
    </row>
    <row r="3593" spans="19:19" x14ac:dyDescent="0.3">
      <c r="S3593" s="6"/>
    </row>
    <row r="3594" spans="19:19" x14ac:dyDescent="0.3">
      <c r="S3594" s="6"/>
    </row>
    <row r="3595" spans="19:19" x14ac:dyDescent="0.3">
      <c r="S3595" s="6"/>
    </row>
    <row r="3596" spans="19:19" x14ac:dyDescent="0.3">
      <c r="S3596" s="6"/>
    </row>
    <row r="3597" spans="19:19" x14ac:dyDescent="0.3">
      <c r="S3597" s="6"/>
    </row>
    <row r="3598" spans="19:19" x14ac:dyDescent="0.3">
      <c r="S3598" s="6"/>
    </row>
    <row r="3599" spans="19:19" x14ac:dyDescent="0.3">
      <c r="S3599" s="6"/>
    </row>
    <row r="3600" spans="19:19" x14ac:dyDescent="0.3">
      <c r="S3600" s="6"/>
    </row>
    <row r="3601" spans="19:19" x14ac:dyDescent="0.3">
      <c r="S3601" s="6"/>
    </row>
    <row r="3602" spans="19:19" x14ac:dyDescent="0.3">
      <c r="S3602" s="6"/>
    </row>
    <row r="3603" spans="19:19" x14ac:dyDescent="0.3">
      <c r="S3603" s="6"/>
    </row>
    <row r="3604" spans="19:19" x14ac:dyDescent="0.3">
      <c r="S3604" s="6"/>
    </row>
    <row r="3605" spans="19:19" x14ac:dyDescent="0.3">
      <c r="S3605" s="6"/>
    </row>
    <row r="3606" spans="19:19" x14ac:dyDescent="0.3">
      <c r="S3606" s="6"/>
    </row>
    <row r="3607" spans="19:19" x14ac:dyDescent="0.3">
      <c r="S3607" s="6"/>
    </row>
    <row r="3608" spans="19:19" x14ac:dyDescent="0.3">
      <c r="S3608" s="6"/>
    </row>
    <row r="3609" spans="19:19" x14ac:dyDescent="0.3">
      <c r="S3609" s="6"/>
    </row>
    <row r="3610" spans="19:19" x14ac:dyDescent="0.3">
      <c r="S3610" s="6"/>
    </row>
    <row r="3611" spans="19:19" x14ac:dyDescent="0.3">
      <c r="S3611" s="6"/>
    </row>
    <row r="3612" spans="19:19" x14ac:dyDescent="0.3">
      <c r="S3612" s="6"/>
    </row>
    <row r="3613" spans="19:19" x14ac:dyDescent="0.3">
      <c r="S3613" s="6"/>
    </row>
    <row r="3614" spans="19:19" x14ac:dyDescent="0.3">
      <c r="S3614" s="6"/>
    </row>
    <row r="3615" spans="19:19" x14ac:dyDescent="0.3">
      <c r="S3615" s="6"/>
    </row>
    <row r="3616" spans="19:19" x14ac:dyDescent="0.3">
      <c r="S3616" s="6"/>
    </row>
    <row r="3617" spans="19:19" x14ac:dyDescent="0.3">
      <c r="S3617" s="6"/>
    </row>
    <row r="3618" spans="19:19" x14ac:dyDescent="0.3">
      <c r="S3618" s="6"/>
    </row>
    <row r="3619" spans="19:19" x14ac:dyDescent="0.3">
      <c r="S3619" s="6"/>
    </row>
    <row r="3620" spans="19:19" x14ac:dyDescent="0.3">
      <c r="S3620" s="6"/>
    </row>
    <row r="3621" spans="19:19" x14ac:dyDescent="0.3">
      <c r="S3621" s="6"/>
    </row>
    <row r="3622" spans="19:19" x14ac:dyDescent="0.3">
      <c r="S3622" s="6"/>
    </row>
    <row r="3623" spans="19:19" x14ac:dyDescent="0.3">
      <c r="S3623" s="6"/>
    </row>
    <row r="3624" spans="19:19" x14ac:dyDescent="0.3">
      <c r="S3624" s="6"/>
    </row>
    <row r="3625" spans="19:19" x14ac:dyDescent="0.3">
      <c r="S3625" s="6"/>
    </row>
    <row r="3626" spans="19:19" x14ac:dyDescent="0.3">
      <c r="S3626" s="6"/>
    </row>
    <row r="3627" spans="19:19" x14ac:dyDescent="0.3">
      <c r="S3627" s="6"/>
    </row>
    <row r="3628" spans="19:19" x14ac:dyDescent="0.3">
      <c r="S3628" s="6"/>
    </row>
    <row r="3629" spans="19:19" x14ac:dyDescent="0.3">
      <c r="S3629" s="6"/>
    </row>
    <row r="3630" spans="19:19" x14ac:dyDescent="0.3">
      <c r="S3630" s="6"/>
    </row>
    <row r="3631" spans="19:19" x14ac:dyDescent="0.3">
      <c r="S3631" s="6"/>
    </row>
    <row r="3632" spans="19:19" x14ac:dyDescent="0.3">
      <c r="S3632" s="6"/>
    </row>
    <row r="3633" spans="19:19" x14ac:dyDescent="0.3">
      <c r="S3633" s="6"/>
    </row>
    <row r="3634" spans="19:19" x14ac:dyDescent="0.3">
      <c r="S3634" s="6"/>
    </row>
    <row r="3635" spans="19:19" x14ac:dyDescent="0.3">
      <c r="S3635" s="6"/>
    </row>
    <row r="3636" spans="19:19" x14ac:dyDescent="0.3">
      <c r="S3636" s="6"/>
    </row>
    <row r="3637" spans="19:19" x14ac:dyDescent="0.3">
      <c r="S3637" s="6"/>
    </row>
    <row r="3638" spans="19:19" x14ac:dyDescent="0.3">
      <c r="S3638" s="6"/>
    </row>
    <row r="3639" spans="19:19" x14ac:dyDescent="0.3">
      <c r="S3639" s="6"/>
    </row>
    <row r="3640" spans="19:19" x14ac:dyDescent="0.3">
      <c r="S3640" s="6"/>
    </row>
    <row r="3641" spans="19:19" x14ac:dyDescent="0.3">
      <c r="S3641" s="6"/>
    </row>
    <row r="3642" spans="19:19" x14ac:dyDescent="0.3">
      <c r="S3642" s="6"/>
    </row>
    <row r="3643" spans="19:19" x14ac:dyDescent="0.3">
      <c r="S3643" s="6"/>
    </row>
    <row r="3644" spans="19:19" x14ac:dyDescent="0.3">
      <c r="S3644" s="6"/>
    </row>
    <row r="3645" spans="19:19" x14ac:dyDescent="0.3">
      <c r="S3645" s="6"/>
    </row>
    <row r="3646" spans="19:19" x14ac:dyDescent="0.3">
      <c r="S3646" s="6"/>
    </row>
    <row r="3647" spans="19:19" x14ac:dyDescent="0.3">
      <c r="S3647" s="6"/>
    </row>
    <row r="3648" spans="19:19" x14ac:dyDescent="0.3">
      <c r="S3648" s="6"/>
    </row>
    <row r="3649" spans="19:19" x14ac:dyDescent="0.3">
      <c r="S3649" s="6"/>
    </row>
    <row r="3650" spans="19:19" x14ac:dyDescent="0.3">
      <c r="S3650" s="6"/>
    </row>
    <row r="3651" spans="19:19" x14ac:dyDescent="0.3">
      <c r="S3651" s="6"/>
    </row>
    <row r="3652" spans="19:19" x14ac:dyDescent="0.3">
      <c r="S3652" s="6"/>
    </row>
    <row r="3653" spans="19:19" x14ac:dyDescent="0.3">
      <c r="S3653" s="6"/>
    </row>
    <row r="3654" spans="19:19" x14ac:dyDescent="0.3">
      <c r="S3654" s="6"/>
    </row>
    <row r="3655" spans="19:19" x14ac:dyDescent="0.3">
      <c r="S3655" s="6"/>
    </row>
    <row r="3656" spans="19:19" x14ac:dyDescent="0.3">
      <c r="S3656" s="6"/>
    </row>
    <row r="3657" spans="19:19" x14ac:dyDescent="0.3">
      <c r="S3657" s="6"/>
    </row>
    <row r="3658" spans="19:19" x14ac:dyDescent="0.3">
      <c r="S3658" s="6"/>
    </row>
    <row r="3659" spans="19:19" x14ac:dyDescent="0.3">
      <c r="S3659" s="6"/>
    </row>
    <row r="3660" spans="19:19" x14ac:dyDescent="0.3">
      <c r="S3660" s="6"/>
    </row>
    <row r="3661" spans="19:19" x14ac:dyDescent="0.3">
      <c r="S3661" s="6"/>
    </row>
    <row r="3662" spans="19:19" x14ac:dyDescent="0.3">
      <c r="S3662" s="6"/>
    </row>
    <row r="3663" spans="19:19" x14ac:dyDescent="0.3">
      <c r="S3663" s="6"/>
    </row>
    <row r="3664" spans="19:19" x14ac:dyDescent="0.3">
      <c r="S3664" s="6"/>
    </row>
    <row r="3665" spans="19:19" x14ac:dyDescent="0.3">
      <c r="S3665" s="6"/>
    </row>
    <row r="3666" spans="19:19" x14ac:dyDescent="0.3">
      <c r="S3666" s="6"/>
    </row>
    <row r="3667" spans="19:19" x14ac:dyDescent="0.3">
      <c r="S3667" s="6"/>
    </row>
    <row r="3668" spans="19:19" x14ac:dyDescent="0.3">
      <c r="S3668" s="6"/>
    </row>
    <row r="3669" spans="19:19" x14ac:dyDescent="0.3">
      <c r="S3669" s="6"/>
    </row>
    <row r="3670" spans="19:19" x14ac:dyDescent="0.3">
      <c r="S3670" s="6"/>
    </row>
    <row r="3671" spans="19:19" x14ac:dyDescent="0.3">
      <c r="S3671" s="6"/>
    </row>
    <row r="3672" spans="19:19" x14ac:dyDescent="0.3">
      <c r="S3672" s="6"/>
    </row>
    <row r="3673" spans="19:19" x14ac:dyDescent="0.3">
      <c r="S3673" s="6"/>
    </row>
    <row r="3674" spans="19:19" x14ac:dyDescent="0.3">
      <c r="S3674" s="6"/>
    </row>
    <row r="3675" spans="19:19" x14ac:dyDescent="0.3">
      <c r="S3675" s="6"/>
    </row>
    <row r="3676" spans="19:19" x14ac:dyDescent="0.3">
      <c r="S3676" s="6"/>
    </row>
    <row r="3677" spans="19:19" x14ac:dyDescent="0.3">
      <c r="S3677" s="6"/>
    </row>
    <row r="3678" spans="19:19" x14ac:dyDescent="0.3">
      <c r="S3678" s="6"/>
    </row>
    <row r="3679" spans="19:19" x14ac:dyDescent="0.3">
      <c r="S3679" s="6"/>
    </row>
    <row r="3680" spans="19:19" x14ac:dyDescent="0.3">
      <c r="S3680" s="6"/>
    </row>
    <row r="3681" spans="19:19" x14ac:dyDescent="0.3">
      <c r="S3681" s="6"/>
    </row>
    <row r="3682" spans="19:19" x14ac:dyDescent="0.3">
      <c r="S3682" s="6"/>
    </row>
    <row r="3683" spans="19:19" x14ac:dyDescent="0.3">
      <c r="S3683" s="6"/>
    </row>
    <row r="3684" spans="19:19" x14ac:dyDescent="0.3">
      <c r="S3684" s="6"/>
    </row>
    <row r="3685" spans="19:19" x14ac:dyDescent="0.3">
      <c r="S3685" s="6"/>
    </row>
    <row r="3686" spans="19:19" x14ac:dyDescent="0.3">
      <c r="S3686" s="6"/>
    </row>
    <row r="3687" spans="19:19" x14ac:dyDescent="0.3">
      <c r="S3687" s="6"/>
    </row>
    <row r="3688" spans="19:19" x14ac:dyDescent="0.3">
      <c r="S3688" s="6"/>
    </row>
    <row r="3689" spans="19:19" x14ac:dyDescent="0.3">
      <c r="S3689" s="6"/>
    </row>
    <row r="3690" spans="19:19" x14ac:dyDescent="0.3">
      <c r="S3690" s="6"/>
    </row>
    <row r="3691" spans="19:19" x14ac:dyDescent="0.3">
      <c r="S3691" s="6"/>
    </row>
    <row r="3692" spans="19:19" x14ac:dyDescent="0.3">
      <c r="S3692" s="6"/>
    </row>
    <row r="3693" spans="19:19" x14ac:dyDescent="0.3">
      <c r="S3693" s="6"/>
    </row>
    <row r="3694" spans="19:19" x14ac:dyDescent="0.3">
      <c r="S3694" s="6"/>
    </row>
    <row r="3695" spans="19:19" x14ac:dyDescent="0.3">
      <c r="S3695" s="6"/>
    </row>
    <row r="3696" spans="19:19" x14ac:dyDescent="0.3">
      <c r="S3696" s="6"/>
    </row>
    <row r="3697" spans="19:19" x14ac:dyDescent="0.3">
      <c r="S3697" s="6"/>
    </row>
    <row r="3698" spans="19:19" x14ac:dyDescent="0.3">
      <c r="S3698" s="6"/>
    </row>
    <row r="3699" spans="19:19" x14ac:dyDescent="0.3">
      <c r="S3699" s="6"/>
    </row>
    <row r="3700" spans="19:19" x14ac:dyDescent="0.3">
      <c r="S3700" s="6"/>
    </row>
    <row r="3701" spans="19:19" x14ac:dyDescent="0.3">
      <c r="S3701" s="6"/>
    </row>
    <row r="3702" spans="19:19" x14ac:dyDescent="0.3">
      <c r="S3702" s="6"/>
    </row>
    <row r="3703" spans="19:19" x14ac:dyDescent="0.3">
      <c r="S3703" s="6"/>
    </row>
    <row r="3704" spans="19:19" x14ac:dyDescent="0.3">
      <c r="S3704" s="6"/>
    </row>
    <row r="3705" spans="19:19" x14ac:dyDescent="0.3">
      <c r="S3705" s="6"/>
    </row>
    <row r="3706" spans="19:19" x14ac:dyDescent="0.3">
      <c r="S3706" s="6"/>
    </row>
    <row r="3707" spans="19:19" x14ac:dyDescent="0.3">
      <c r="S3707" s="6"/>
    </row>
    <row r="3708" spans="19:19" x14ac:dyDescent="0.3">
      <c r="S3708" s="6"/>
    </row>
    <row r="3709" spans="19:19" x14ac:dyDescent="0.3">
      <c r="S3709" s="6"/>
    </row>
    <row r="3710" spans="19:19" x14ac:dyDescent="0.3">
      <c r="S3710" s="6"/>
    </row>
    <row r="3711" spans="19:19" x14ac:dyDescent="0.3">
      <c r="S3711" s="6"/>
    </row>
    <row r="3712" spans="19:19" x14ac:dyDescent="0.3">
      <c r="S3712" s="6"/>
    </row>
    <row r="3713" spans="19:19" x14ac:dyDescent="0.3">
      <c r="S3713" s="6"/>
    </row>
    <row r="3714" spans="19:19" x14ac:dyDescent="0.3">
      <c r="S3714" s="6"/>
    </row>
    <row r="3715" spans="19:19" x14ac:dyDescent="0.3">
      <c r="S3715" s="6"/>
    </row>
    <row r="3716" spans="19:19" x14ac:dyDescent="0.3">
      <c r="S3716" s="6"/>
    </row>
    <row r="3717" spans="19:19" x14ac:dyDescent="0.3">
      <c r="S3717" s="6"/>
    </row>
    <row r="3718" spans="19:19" x14ac:dyDescent="0.3">
      <c r="S3718" s="6"/>
    </row>
    <row r="3719" spans="19:19" x14ac:dyDescent="0.3">
      <c r="S3719" s="6"/>
    </row>
    <row r="3720" spans="19:19" x14ac:dyDescent="0.3">
      <c r="S3720" s="6"/>
    </row>
    <row r="3721" spans="19:19" x14ac:dyDescent="0.3">
      <c r="S3721" s="6"/>
    </row>
    <row r="3722" spans="19:19" x14ac:dyDescent="0.3">
      <c r="S3722" s="6"/>
    </row>
    <row r="3723" spans="19:19" x14ac:dyDescent="0.3">
      <c r="S3723" s="6"/>
    </row>
    <row r="3724" spans="19:19" x14ac:dyDescent="0.3">
      <c r="S3724" s="6"/>
    </row>
    <row r="3725" spans="19:19" x14ac:dyDescent="0.3">
      <c r="S3725" s="6"/>
    </row>
    <row r="3726" spans="19:19" x14ac:dyDescent="0.3">
      <c r="S3726" s="6"/>
    </row>
    <row r="3727" spans="19:19" x14ac:dyDescent="0.3">
      <c r="S3727" s="6"/>
    </row>
    <row r="3728" spans="19:19" x14ac:dyDescent="0.3">
      <c r="S3728" s="6"/>
    </row>
    <row r="3729" spans="19:19" x14ac:dyDescent="0.3">
      <c r="S3729" s="6"/>
    </row>
    <row r="3730" spans="19:19" x14ac:dyDescent="0.3">
      <c r="S3730" s="6"/>
    </row>
    <row r="3731" spans="19:19" x14ac:dyDescent="0.3">
      <c r="S3731" s="6"/>
    </row>
    <row r="3732" spans="19:19" x14ac:dyDescent="0.3">
      <c r="S3732" s="6"/>
    </row>
    <row r="3733" spans="19:19" x14ac:dyDescent="0.3">
      <c r="S3733" s="6"/>
    </row>
    <row r="3734" spans="19:19" x14ac:dyDescent="0.3">
      <c r="S3734" s="6"/>
    </row>
    <row r="3735" spans="19:19" x14ac:dyDescent="0.3">
      <c r="S3735" s="6"/>
    </row>
    <row r="3736" spans="19:19" x14ac:dyDescent="0.3">
      <c r="S3736" s="6"/>
    </row>
    <row r="3737" spans="19:19" x14ac:dyDescent="0.3">
      <c r="S3737" s="6"/>
    </row>
    <row r="3738" spans="19:19" x14ac:dyDescent="0.3">
      <c r="S3738" s="6"/>
    </row>
    <row r="3739" spans="19:19" x14ac:dyDescent="0.3">
      <c r="S3739" s="6"/>
    </row>
    <row r="3740" spans="19:19" x14ac:dyDescent="0.3">
      <c r="S3740" s="6"/>
    </row>
    <row r="3741" spans="19:19" x14ac:dyDescent="0.3">
      <c r="S3741" s="6"/>
    </row>
    <row r="3742" spans="19:19" x14ac:dyDescent="0.3">
      <c r="S3742" s="6"/>
    </row>
    <row r="3743" spans="19:19" x14ac:dyDescent="0.3">
      <c r="S3743" s="6"/>
    </row>
    <row r="3744" spans="19:19" x14ac:dyDescent="0.3">
      <c r="S3744" s="6"/>
    </row>
    <row r="3745" spans="19:19" x14ac:dyDescent="0.3">
      <c r="S3745" s="6"/>
    </row>
    <row r="3746" spans="19:19" x14ac:dyDescent="0.3">
      <c r="S3746" s="6"/>
    </row>
    <row r="3747" spans="19:19" x14ac:dyDescent="0.3">
      <c r="S3747" s="6"/>
    </row>
    <row r="3748" spans="19:19" x14ac:dyDescent="0.3">
      <c r="S3748" s="6"/>
    </row>
    <row r="3749" spans="19:19" x14ac:dyDescent="0.3">
      <c r="S3749" s="6"/>
    </row>
    <row r="3750" spans="19:19" x14ac:dyDescent="0.3">
      <c r="S3750" s="6"/>
    </row>
    <row r="3751" spans="19:19" x14ac:dyDescent="0.3">
      <c r="S3751" s="6"/>
    </row>
    <row r="3752" spans="19:19" x14ac:dyDescent="0.3">
      <c r="S3752" s="6"/>
    </row>
    <row r="3753" spans="19:19" x14ac:dyDescent="0.3">
      <c r="S3753" s="6"/>
    </row>
    <row r="3754" spans="19:19" x14ac:dyDescent="0.3">
      <c r="S3754" s="6"/>
    </row>
    <row r="3755" spans="19:19" x14ac:dyDescent="0.3">
      <c r="S3755" s="6"/>
    </row>
    <row r="3756" spans="19:19" x14ac:dyDescent="0.3">
      <c r="S3756" s="6"/>
    </row>
    <row r="3757" spans="19:19" x14ac:dyDescent="0.3">
      <c r="S3757" s="6"/>
    </row>
    <row r="3758" spans="19:19" x14ac:dyDescent="0.3">
      <c r="S3758" s="6"/>
    </row>
    <row r="3759" spans="19:19" x14ac:dyDescent="0.3">
      <c r="S3759" s="6"/>
    </row>
    <row r="3760" spans="19:19" x14ac:dyDescent="0.3">
      <c r="S3760" s="6"/>
    </row>
    <row r="3761" spans="19:19" x14ac:dyDescent="0.3">
      <c r="S3761" s="6"/>
    </row>
    <row r="3762" spans="19:19" x14ac:dyDescent="0.3">
      <c r="S3762" s="6"/>
    </row>
    <row r="3763" spans="19:19" x14ac:dyDescent="0.3">
      <c r="S3763" s="6"/>
    </row>
    <row r="3764" spans="19:19" x14ac:dyDescent="0.3">
      <c r="S3764" s="6"/>
    </row>
    <row r="3765" spans="19:19" x14ac:dyDescent="0.3">
      <c r="S3765" s="6"/>
    </row>
    <row r="3766" spans="19:19" x14ac:dyDescent="0.3">
      <c r="S3766" s="6"/>
    </row>
    <row r="3767" spans="19:19" x14ac:dyDescent="0.3">
      <c r="S3767" s="6"/>
    </row>
    <row r="3768" spans="19:19" x14ac:dyDescent="0.3">
      <c r="S3768" s="6"/>
    </row>
    <row r="3769" spans="19:19" x14ac:dyDescent="0.3">
      <c r="S3769" s="6"/>
    </row>
    <row r="3770" spans="19:19" x14ac:dyDescent="0.3">
      <c r="S3770" s="6"/>
    </row>
    <row r="3771" spans="19:19" x14ac:dyDescent="0.3">
      <c r="S3771" s="6"/>
    </row>
    <row r="3772" spans="19:19" x14ac:dyDescent="0.3">
      <c r="S3772" s="6"/>
    </row>
    <row r="3773" spans="19:19" x14ac:dyDescent="0.3">
      <c r="S3773" s="6"/>
    </row>
    <row r="3774" spans="19:19" x14ac:dyDescent="0.3">
      <c r="S3774" s="6"/>
    </row>
    <row r="3775" spans="19:19" x14ac:dyDescent="0.3">
      <c r="S3775" s="6"/>
    </row>
    <row r="3776" spans="19:19" x14ac:dyDescent="0.3">
      <c r="S3776" s="6"/>
    </row>
    <row r="3777" spans="19:19" x14ac:dyDescent="0.3">
      <c r="S3777" s="6"/>
    </row>
    <row r="3778" spans="19:19" x14ac:dyDescent="0.3">
      <c r="S3778" s="6"/>
    </row>
    <row r="3779" spans="19:19" x14ac:dyDescent="0.3">
      <c r="S3779" s="6"/>
    </row>
    <row r="3780" spans="19:19" x14ac:dyDescent="0.3">
      <c r="S3780" s="6"/>
    </row>
    <row r="3781" spans="19:19" x14ac:dyDescent="0.3">
      <c r="S3781" s="6"/>
    </row>
    <row r="3782" spans="19:19" x14ac:dyDescent="0.3">
      <c r="S3782" s="6"/>
    </row>
    <row r="3783" spans="19:19" x14ac:dyDescent="0.3">
      <c r="S3783" s="6"/>
    </row>
    <row r="3784" spans="19:19" x14ac:dyDescent="0.3">
      <c r="S3784" s="6"/>
    </row>
    <row r="3785" spans="19:19" x14ac:dyDescent="0.3">
      <c r="S3785" s="6"/>
    </row>
    <row r="3786" spans="19:19" x14ac:dyDescent="0.3">
      <c r="S3786" s="6"/>
    </row>
    <row r="3787" spans="19:19" x14ac:dyDescent="0.3">
      <c r="S3787" s="6"/>
    </row>
    <row r="3788" spans="19:19" x14ac:dyDescent="0.3">
      <c r="S3788" s="6"/>
    </row>
    <row r="3789" spans="19:19" x14ac:dyDescent="0.3">
      <c r="S3789" s="6"/>
    </row>
    <row r="3790" spans="19:19" x14ac:dyDescent="0.3">
      <c r="S3790" s="6"/>
    </row>
    <row r="3791" spans="19:19" x14ac:dyDescent="0.3">
      <c r="S3791" s="6"/>
    </row>
    <row r="3792" spans="19:19" x14ac:dyDescent="0.3">
      <c r="S3792" s="6"/>
    </row>
    <row r="3793" spans="19:19" x14ac:dyDescent="0.3">
      <c r="S3793" s="6"/>
    </row>
    <row r="3794" spans="19:19" x14ac:dyDescent="0.3">
      <c r="S3794" s="6"/>
    </row>
    <row r="3795" spans="19:19" x14ac:dyDescent="0.3">
      <c r="S3795" s="6"/>
    </row>
    <row r="3796" spans="19:19" x14ac:dyDescent="0.3">
      <c r="S3796" s="6"/>
    </row>
    <row r="3797" spans="19:19" x14ac:dyDescent="0.3">
      <c r="S3797" s="6"/>
    </row>
    <row r="3798" spans="19:19" x14ac:dyDescent="0.3">
      <c r="S3798" s="6"/>
    </row>
    <row r="3799" spans="19:19" x14ac:dyDescent="0.3">
      <c r="S3799" s="6"/>
    </row>
    <row r="3800" spans="19:19" x14ac:dyDescent="0.3">
      <c r="S3800" s="6"/>
    </row>
    <row r="3801" spans="19:19" x14ac:dyDescent="0.3">
      <c r="S3801" s="6"/>
    </row>
    <row r="3802" spans="19:19" x14ac:dyDescent="0.3">
      <c r="S3802" s="6"/>
    </row>
    <row r="3803" spans="19:19" x14ac:dyDescent="0.3">
      <c r="S3803" s="6"/>
    </row>
    <row r="3804" spans="19:19" x14ac:dyDescent="0.3">
      <c r="S3804" s="6"/>
    </row>
    <row r="3805" spans="19:19" x14ac:dyDescent="0.3">
      <c r="S3805" s="6"/>
    </row>
    <row r="3806" spans="19:19" x14ac:dyDescent="0.3">
      <c r="S3806" s="6"/>
    </row>
    <row r="3807" spans="19:19" x14ac:dyDescent="0.3">
      <c r="S3807" s="6"/>
    </row>
    <row r="3808" spans="19:19" x14ac:dyDescent="0.3">
      <c r="S3808" s="6"/>
    </row>
    <row r="3809" spans="19:19" x14ac:dyDescent="0.3">
      <c r="S3809" s="6"/>
    </row>
    <row r="3810" spans="19:19" x14ac:dyDescent="0.3">
      <c r="S3810" s="6"/>
    </row>
    <row r="3811" spans="19:19" x14ac:dyDescent="0.3">
      <c r="S3811" s="6"/>
    </row>
    <row r="3812" spans="19:19" x14ac:dyDescent="0.3">
      <c r="S3812" s="6"/>
    </row>
    <row r="3813" spans="19:19" x14ac:dyDescent="0.3">
      <c r="S3813" s="6"/>
    </row>
    <row r="3814" spans="19:19" x14ac:dyDescent="0.3">
      <c r="S3814" s="6"/>
    </row>
    <row r="3815" spans="19:19" x14ac:dyDescent="0.3">
      <c r="S3815" s="6"/>
    </row>
    <row r="3816" spans="19:19" x14ac:dyDescent="0.3">
      <c r="S3816" s="6"/>
    </row>
    <row r="3817" spans="19:19" x14ac:dyDescent="0.3">
      <c r="S3817" s="6"/>
    </row>
    <row r="3818" spans="19:19" x14ac:dyDescent="0.3">
      <c r="S3818" s="6"/>
    </row>
    <row r="3819" spans="19:19" x14ac:dyDescent="0.3">
      <c r="S3819" s="6"/>
    </row>
    <row r="3820" spans="19:19" x14ac:dyDescent="0.3">
      <c r="S3820" s="6"/>
    </row>
    <row r="3821" spans="19:19" x14ac:dyDescent="0.3">
      <c r="S3821" s="6"/>
    </row>
    <row r="3822" spans="19:19" x14ac:dyDescent="0.3">
      <c r="S3822" s="6"/>
    </row>
    <row r="3823" spans="19:19" x14ac:dyDescent="0.3">
      <c r="S3823" s="6"/>
    </row>
    <row r="3824" spans="19:19" x14ac:dyDescent="0.3">
      <c r="S3824" s="6"/>
    </row>
    <row r="3825" spans="19:19" x14ac:dyDescent="0.3">
      <c r="S3825" s="6"/>
    </row>
    <row r="3826" spans="19:19" x14ac:dyDescent="0.3">
      <c r="S3826" s="6"/>
    </row>
    <row r="3827" spans="19:19" x14ac:dyDescent="0.3">
      <c r="S3827" s="6"/>
    </row>
    <row r="3828" spans="19:19" x14ac:dyDescent="0.3">
      <c r="S3828" s="6"/>
    </row>
    <row r="3829" spans="19:19" x14ac:dyDescent="0.3">
      <c r="S3829" s="6"/>
    </row>
    <row r="3830" spans="19:19" x14ac:dyDescent="0.3">
      <c r="S3830" s="6"/>
    </row>
    <row r="3831" spans="19:19" x14ac:dyDescent="0.3">
      <c r="S3831" s="6"/>
    </row>
    <row r="3832" spans="19:19" x14ac:dyDescent="0.3">
      <c r="S3832" s="6"/>
    </row>
    <row r="3833" spans="19:19" x14ac:dyDescent="0.3">
      <c r="S3833" s="6"/>
    </row>
    <row r="3834" spans="19:19" x14ac:dyDescent="0.3">
      <c r="S3834" s="6"/>
    </row>
    <row r="3835" spans="19:19" x14ac:dyDescent="0.3">
      <c r="S3835" s="6"/>
    </row>
    <row r="3836" spans="19:19" x14ac:dyDescent="0.3">
      <c r="S3836" s="6"/>
    </row>
    <row r="3837" spans="19:19" x14ac:dyDescent="0.3">
      <c r="S3837" s="6"/>
    </row>
    <row r="3838" spans="19:19" x14ac:dyDescent="0.3">
      <c r="S3838" s="6"/>
    </row>
    <row r="3839" spans="19:19" x14ac:dyDescent="0.3">
      <c r="S3839" s="6"/>
    </row>
    <row r="3840" spans="19:19" x14ac:dyDescent="0.3">
      <c r="S3840" s="6"/>
    </row>
    <row r="3841" spans="19:19" x14ac:dyDescent="0.3">
      <c r="S3841" s="6"/>
    </row>
    <row r="3842" spans="19:19" x14ac:dyDescent="0.3">
      <c r="S3842" s="6"/>
    </row>
    <row r="3843" spans="19:19" x14ac:dyDescent="0.3">
      <c r="S3843" s="6"/>
    </row>
    <row r="3844" spans="19:19" x14ac:dyDescent="0.3">
      <c r="S3844" s="6"/>
    </row>
    <row r="3845" spans="19:19" x14ac:dyDescent="0.3">
      <c r="S3845" s="6"/>
    </row>
    <row r="3846" spans="19:19" x14ac:dyDescent="0.3">
      <c r="S3846" s="6"/>
    </row>
    <row r="3847" spans="19:19" x14ac:dyDescent="0.3">
      <c r="S3847" s="6"/>
    </row>
    <row r="3848" spans="19:19" x14ac:dyDescent="0.3">
      <c r="S3848" s="6"/>
    </row>
    <row r="3849" spans="19:19" x14ac:dyDescent="0.3">
      <c r="S3849" s="6"/>
    </row>
    <row r="3850" spans="19:19" x14ac:dyDescent="0.3">
      <c r="S3850" s="6"/>
    </row>
    <row r="3851" spans="19:19" x14ac:dyDescent="0.3">
      <c r="S3851" s="6"/>
    </row>
    <row r="3852" spans="19:19" x14ac:dyDescent="0.3">
      <c r="S3852" s="6"/>
    </row>
    <row r="3853" spans="19:19" x14ac:dyDescent="0.3">
      <c r="S3853" s="6"/>
    </row>
    <row r="3854" spans="19:19" x14ac:dyDescent="0.3">
      <c r="S3854" s="6"/>
    </row>
    <row r="3855" spans="19:19" x14ac:dyDescent="0.3">
      <c r="S3855" s="6"/>
    </row>
    <row r="3856" spans="19:19" x14ac:dyDescent="0.3">
      <c r="S3856" s="6"/>
    </row>
    <row r="3857" spans="19:19" x14ac:dyDescent="0.3">
      <c r="S3857" s="6"/>
    </row>
    <row r="3858" spans="19:19" x14ac:dyDescent="0.3">
      <c r="S3858" s="6"/>
    </row>
    <row r="3859" spans="19:19" x14ac:dyDescent="0.3">
      <c r="S3859" s="6"/>
    </row>
    <row r="3860" spans="19:19" x14ac:dyDescent="0.3">
      <c r="S3860" s="6"/>
    </row>
    <row r="3861" spans="19:19" x14ac:dyDescent="0.3">
      <c r="S3861" s="6"/>
    </row>
    <row r="3862" spans="19:19" x14ac:dyDescent="0.3">
      <c r="S3862" s="6"/>
    </row>
    <row r="3863" spans="19:19" x14ac:dyDescent="0.3">
      <c r="S3863" s="6"/>
    </row>
    <row r="3864" spans="19:19" x14ac:dyDescent="0.3">
      <c r="S3864" s="6"/>
    </row>
    <row r="3865" spans="19:19" x14ac:dyDescent="0.3">
      <c r="S3865" s="6"/>
    </row>
    <row r="3866" spans="19:19" x14ac:dyDescent="0.3">
      <c r="S3866" s="6"/>
    </row>
    <row r="3867" spans="19:19" x14ac:dyDescent="0.3">
      <c r="S3867" s="6"/>
    </row>
    <row r="3868" spans="19:19" x14ac:dyDescent="0.3">
      <c r="S3868" s="6"/>
    </row>
    <row r="3869" spans="19:19" x14ac:dyDescent="0.3">
      <c r="S3869" s="6"/>
    </row>
    <row r="3870" spans="19:19" x14ac:dyDescent="0.3">
      <c r="S3870" s="6"/>
    </row>
    <row r="3871" spans="19:19" x14ac:dyDescent="0.3">
      <c r="S3871" s="6"/>
    </row>
    <row r="3872" spans="19:19" x14ac:dyDescent="0.3">
      <c r="S3872" s="6"/>
    </row>
    <row r="3873" spans="19:19" x14ac:dyDescent="0.3">
      <c r="S3873" s="6"/>
    </row>
    <row r="3874" spans="19:19" x14ac:dyDescent="0.3">
      <c r="S3874" s="6"/>
    </row>
    <row r="3875" spans="19:19" x14ac:dyDescent="0.3">
      <c r="S3875" s="6"/>
    </row>
    <row r="3876" spans="19:19" x14ac:dyDescent="0.3">
      <c r="S3876" s="6"/>
    </row>
    <row r="3877" spans="19:19" x14ac:dyDescent="0.3">
      <c r="S3877" s="6"/>
    </row>
    <row r="3878" spans="19:19" x14ac:dyDescent="0.3">
      <c r="S3878" s="6"/>
    </row>
    <row r="3879" spans="19:19" x14ac:dyDescent="0.3">
      <c r="S3879" s="6"/>
    </row>
    <row r="3880" spans="19:19" x14ac:dyDescent="0.3">
      <c r="S3880" s="6"/>
    </row>
    <row r="3881" spans="19:19" x14ac:dyDescent="0.3">
      <c r="S3881" s="6"/>
    </row>
    <row r="3882" spans="19:19" x14ac:dyDescent="0.3">
      <c r="S3882" s="6"/>
    </row>
    <row r="3883" spans="19:19" x14ac:dyDescent="0.3">
      <c r="S3883" s="6"/>
    </row>
    <row r="3884" spans="19:19" x14ac:dyDescent="0.3">
      <c r="S3884" s="6"/>
    </row>
    <row r="3885" spans="19:19" x14ac:dyDescent="0.3">
      <c r="S3885" s="6"/>
    </row>
    <row r="3886" spans="19:19" x14ac:dyDescent="0.3">
      <c r="S3886" s="6"/>
    </row>
    <row r="3887" spans="19:19" x14ac:dyDescent="0.3">
      <c r="S3887" s="6"/>
    </row>
    <row r="3888" spans="19:19" x14ac:dyDescent="0.3">
      <c r="S3888" s="6"/>
    </row>
    <row r="3889" spans="19:19" x14ac:dyDescent="0.3">
      <c r="S3889" s="6"/>
    </row>
    <row r="3890" spans="19:19" x14ac:dyDescent="0.3">
      <c r="S3890" s="6"/>
    </row>
    <row r="3891" spans="19:19" x14ac:dyDescent="0.3">
      <c r="S3891" s="6"/>
    </row>
    <row r="3892" spans="19:19" x14ac:dyDescent="0.3">
      <c r="S3892" s="6"/>
    </row>
    <row r="3893" spans="19:19" x14ac:dyDescent="0.3">
      <c r="S3893" s="6"/>
    </row>
    <row r="3894" spans="19:19" x14ac:dyDescent="0.3">
      <c r="S3894" s="6"/>
    </row>
    <row r="3895" spans="19:19" x14ac:dyDescent="0.3">
      <c r="S3895" s="6"/>
    </row>
    <row r="3896" spans="19:19" x14ac:dyDescent="0.3">
      <c r="S3896" s="6"/>
    </row>
    <row r="3897" spans="19:19" x14ac:dyDescent="0.3">
      <c r="S3897" s="6"/>
    </row>
    <row r="3898" spans="19:19" x14ac:dyDescent="0.3">
      <c r="S3898" s="6"/>
    </row>
    <row r="3899" spans="19:19" x14ac:dyDescent="0.3">
      <c r="S3899" s="6"/>
    </row>
    <row r="3900" spans="19:19" x14ac:dyDescent="0.3">
      <c r="S3900" s="6"/>
    </row>
    <row r="3901" spans="19:19" x14ac:dyDescent="0.3">
      <c r="S3901" s="6"/>
    </row>
    <row r="3902" spans="19:19" x14ac:dyDescent="0.3">
      <c r="S3902" s="6"/>
    </row>
    <row r="3903" spans="19:19" x14ac:dyDescent="0.3">
      <c r="S3903" s="6"/>
    </row>
    <row r="3904" spans="19:19" x14ac:dyDescent="0.3">
      <c r="S3904" s="6"/>
    </row>
    <row r="3905" spans="19:19" x14ac:dyDescent="0.3">
      <c r="S3905" s="6"/>
    </row>
    <row r="3906" spans="19:19" x14ac:dyDescent="0.3">
      <c r="S3906" s="6"/>
    </row>
    <row r="3907" spans="19:19" x14ac:dyDescent="0.3">
      <c r="S3907" s="6"/>
    </row>
    <row r="3908" spans="19:19" x14ac:dyDescent="0.3">
      <c r="S3908" s="6"/>
    </row>
    <row r="3909" spans="19:19" x14ac:dyDescent="0.3">
      <c r="S3909" s="6"/>
    </row>
    <row r="3910" spans="19:19" x14ac:dyDescent="0.3">
      <c r="S3910" s="6"/>
    </row>
    <row r="3911" spans="19:19" x14ac:dyDescent="0.3">
      <c r="S3911" s="6"/>
    </row>
    <row r="3912" spans="19:19" x14ac:dyDescent="0.3">
      <c r="S3912" s="6"/>
    </row>
    <row r="3913" spans="19:19" x14ac:dyDescent="0.3">
      <c r="S3913" s="6"/>
    </row>
    <row r="3914" spans="19:19" x14ac:dyDescent="0.3">
      <c r="S3914" s="6"/>
    </row>
    <row r="3915" spans="19:19" x14ac:dyDescent="0.3">
      <c r="S3915" s="6"/>
    </row>
    <row r="3916" spans="19:19" x14ac:dyDescent="0.3">
      <c r="S3916" s="6"/>
    </row>
    <row r="3917" spans="19:19" x14ac:dyDescent="0.3">
      <c r="S3917" s="6"/>
    </row>
    <row r="3918" spans="19:19" x14ac:dyDescent="0.3">
      <c r="S3918" s="6"/>
    </row>
    <row r="3919" spans="19:19" x14ac:dyDescent="0.3">
      <c r="S3919" s="6"/>
    </row>
    <row r="3920" spans="19:19" x14ac:dyDescent="0.3">
      <c r="S3920" s="6"/>
    </row>
    <row r="3921" spans="19:19" x14ac:dyDescent="0.3">
      <c r="S3921" s="6"/>
    </row>
    <row r="3922" spans="19:19" x14ac:dyDescent="0.3">
      <c r="S3922" s="6"/>
    </row>
    <row r="3923" spans="19:19" x14ac:dyDescent="0.3">
      <c r="S3923" s="6"/>
    </row>
    <row r="3924" spans="19:19" x14ac:dyDescent="0.3">
      <c r="S3924" s="6"/>
    </row>
    <row r="3925" spans="19:19" x14ac:dyDescent="0.3">
      <c r="S3925" s="6"/>
    </row>
    <row r="3926" spans="19:19" x14ac:dyDescent="0.3">
      <c r="S3926" s="6"/>
    </row>
    <row r="3927" spans="19:19" x14ac:dyDescent="0.3">
      <c r="S3927" s="6"/>
    </row>
    <row r="3928" spans="19:19" x14ac:dyDescent="0.3">
      <c r="S3928" s="6"/>
    </row>
    <row r="3929" spans="19:19" x14ac:dyDescent="0.3">
      <c r="S3929" s="6"/>
    </row>
    <row r="3930" spans="19:19" x14ac:dyDescent="0.3">
      <c r="S3930" s="6"/>
    </row>
    <row r="3931" spans="19:19" x14ac:dyDescent="0.3">
      <c r="S3931" s="6"/>
    </row>
    <row r="3932" spans="19:19" x14ac:dyDescent="0.3">
      <c r="S3932" s="6"/>
    </row>
    <row r="3933" spans="19:19" x14ac:dyDescent="0.3">
      <c r="S3933" s="6"/>
    </row>
    <row r="3934" spans="19:19" x14ac:dyDescent="0.3">
      <c r="S3934" s="6"/>
    </row>
    <row r="3935" spans="19:19" x14ac:dyDescent="0.3">
      <c r="S3935" s="6"/>
    </row>
    <row r="3936" spans="19:19" x14ac:dyDescent="0.3">
      <c r="S3936" s="6"/>
    </row>
    <row r="3937" spans="19:19" x14ac:dyDescent="0.3">
      <c r="S3937" s="6"/>
    </row>
    <row r="3938" spans="19:19" x14ac:dyDescent="0.3">
      <c r="S3938" s="6"/>
    </row>
    <row r="3939" spans="19:19" x14ac:dyDescent="0.3">
      <c r="S3939" s="6"/>
    </row>
    <row r="3940" spans="19:19" x14ac:dyDescent="0.3">
      <c r="S3940" s="6"/>
    </row>
    <row r="3941" spans="19:19" x14ac:dyDescent="0.3">
      <c r="S3941" s="6"/>
    </row>
    <row r="3942" spans="19:19" x14ac:dyDescent="0.3">
      <c r="S3942" s="6"/>
    </row>
    <row r="3943" spans="19:19" x14ac:dyDescent="0.3">
      <c r="S3943" s="6"/>
    </row>
    <row r="3944" spans="19:19" x14ac:dyDescent="0.3">
      <c r="S3944" s="6"/>
    </row>
    <row r="3945" spans="19:19" x14ac:dyDescent="0.3">
      <c r="S3945" s="6"/>
    </row>
    <row r="3946" spans="19:19" x14ac:dyDescent="0.3">
      <c r="S3946" s="6"/>
    </row>
    <row r="3947" spans="19:19" x14ac:dyDescent="0.3">
      <c r="S3947" s="6"/>
    </row>
    <row r="3948" spans="19:19" x14ac:dyDescent="0.3">
      <c r="S3948" s="6"/>
    </row>
    <row r="3949" spans="19:19" x14ac:dyDescent="0.3">
      <c r="S3949" s="6"/>
    </row>
    <row r="3950" spans="19:19" x14ac:dyDescent="0.3">
      <c r="S3950" s="6"/>
    </row>
    <row r="3951" spans="19:19" x14ac:dyDescent="0.3">
      <c r="S3951" s="6"/>
    </row>
    <row r="3952" spans="19:19" x14ac:dyDescent="0.3">
      <c r="S3952" s="6"/>
    </row>
    <row r="3953" spans="19:19" x14ac:dyDescent="0.3">
      <c r="S3953" s="6"/>
    </row>
    <row r="3954" spans="19:19" x14ac:dyDescent="0.3">
      <c r="S3954" s="6"/>
    </row>
    <row r="3955" spans="19:19" x14ac:dyDescent="0.3">
      <c r="S3955" s="6"/>
    </row>
    <row r="3956" spans="19:19" x14ac:dyDescent="0.3">
      <c r="S3956" s="6"/>
    </row>
    <row r="3957" spans="19:19" x14ac:dyDescent="0.3">
      <c r="S3957" s="6"/>
    </row>
    <row r="3958" spans="19:19" x14ac:dyDescent="0.3">
      <c r="S3958" s="6"/>
    </row>
    <row r="3959" spans="19:19" x14ac:dyDescent="0.3">
      <c r="S3959" s="6"/>
    </row>
    <row r="3960" spans="19:19" x14ac:dyDescent="0.3">
      <c r="S3960" s="6"/>
    </row>
    <row r="3961" spans="19:19" x14ac:dyDescent="0.3">
      <c r="S3961" s="6"/>
    </row>
    <row r="3962" spans="19:19" x14ac:dyDescent="0.3">
      <c r="S3962" s="6"/>
    </row>
    <row r="3963" spans="19:19" x14ac:dyDescent="0.3">
      <c r="S3963" s="6"/>
    </row>
    <row r="3964" spans="19:19" x14ac:dyDescent="0.3">
      <c r="S3964" s="6"/>
    </row>
    <row r="3965" spans="19:19" x14ac:dyDescent="0.3">
      <c r="S3965" s="6"/>
    </row>
    <row r="3966" spans="19:19" x14ac:dyDescent="0.3">
      <c r="S3966" s="6"/>
    </row>
    <row r="3967" spans="19:19" x14ac:dyDescent="0.3">
      <c r="S3967" s="6"/>
    </row>
    <row r="3968" spans="19:19" x14ac:dyDescent="0.3">
      <c r="S3968" s="6"/>
    </row>
    <row r="3969" spans="19:19" x14ac:dyDescent="0.3">
      <c r="S3969" s="6"/>
    </row>
    <row r="3970" spans="19:19" x14ac:dyDescent="0.3">
      <c r="S3970" s="6"/>
    </row>
    <row r="3971" spans="19:19" x14ac:dyDescent="0.3">
      <c r="S3971" s="6"/>
    </row>
    <row r="3972" spans="19:19" x14ac:dyDescent="0.3">
      <c r="S3972" s="6"/>
    </row>
    <row r="3973" spans="19:19" x14ac:dyDescent="0.3">
      <c r="S3973" s="6"/>
    </row>
    <row r="3974" spans="19:19" x14ac:dyDescent="0.3">
      <c r="S3974" s="6"/>
    </row>
    <row r="3975" spans="19:19" x14ac:dyDescent="0.3">
      <c r="S3975" s="6"/>
    </row>
    <row r="3976" spans="19:19" x14ac:dyDescent="0.3">
      <c r="S3976" s="6"/>
    </row>
    <row r="3977" spans="19:19" x14ac:dyDescent="0.3">
      <c r="S3977" s="6"/>
    </row>
    <row r="3978" spans="19:19" x14ac:dyDescent="0.3">
      <c r="S3978" s="6"/>
    </row>
    <row r="3979" spans="19:19" x14ac:dyDescent="0.3">
      <c r="S3979" s="6"/>
    </row>
    <row r="3980" spans="19:19" x14ac:dyDescent="0.3">
      <c r="S3980" s="6"/>
    </row>
    <row r="3981" spans="19:19" x14ac:dyDescent="0.3">
      <c r="S3981" s="6"/>
    </row>
    <row r="3982" spans="19:19" x14ac:dyDescent="0.3">
      <c r="S3982" s="6"/>
    </row>
    <row r="3983" spans="19:19" x14ac:dyDescent="0.3">
      <c r="S3983" s="6"/>
    </row>
    <row r="3984" spans="19:19" x14ac:dyDescent="0.3">
      <c r="S3984" s="6"/>
    </row>
    <row r="3985" spans="19:19" x14ac:dyDescent="0.3">
      <c r="S3985" s="6"/>
    </row>
    <row r="3986" spans="19:19" x14ac:dyDescent="0.3">
      <c r="S3986" s="6"/>
    </row>
    <row r="3987" spans="19:19" x14ac:dyDescent="0.3">
      <c r="S3987" s="6"/>
    </row>
    <row r="3988" spans="19:19" x14ac:dyDescent="0.3">
      <c r="S3988" s="6"/>
    </row>
    <row r="3989" spans="19:19" x14ac:dyDescent="0.3">
      <c r="S3989" s="6"/>
    </row>
    <row r="3990" spans="19:19" x14ac:dyDescent="0.3">
      <c r="S3990" s="6"/>
    </row>
    <row r="3991" spans="19:19" x14ac:dyDescent="0.3">
      <c r="S3991" s="6"/>
    </row>
    <row r="3992" spans="19:19" x14ac:dyDescent="0.3">
      <c r="S3992" s="6"/>
    </row>
    <row r="3993" spans="19:19" x14ac:dyDescent="0.3">
      <c r="S3993" s="6"/>
    </row>
    <row r="3994" spans="19:19" x14ac:dyDescent="0.3">
      <c r="S3994" s="6"/>
    </row>
    <row r="3995" spans="19:19" x14ac:dyDescent="0.3">
      <c r="S3995" s="6"/>
    </row>
    <row r="3996" spans="19:19" x14ac:dyDescent="0.3">
      <c r="S3996" s="6"/>
    </row>
    <row r="3997" spans="19:19" x14ac:dyDescent="0.3">
      <c r="S3997" s="6"/>
    </row>
    <row r="3998" spans="19:19" x14ac:dyDescent="0.3">
      <c r="S3998" s="6"/>
    </row>
    <row r="3999" spans="19:19" x14ac:dyDescent="0.3">
      <c r="S3999" s="6"/>
    </row>
    <row r="4000" spans="19:19" x14ac:dyDescent="0.3">
      <c r="S4000" s="6"/>
    </row>
    <row r="4001" spans="19:19" x14ac:dyDescent="0.3">
      <c r="S4001" s="6"/>
    </row>
    <row r="4002" spans="19:19" x14ac:dyDescent="0.3">
      <c r="S4002" s="6"/>
    </row>
    <row r="4003" spans="19:19" x14ac:dyDescent="0.3">
      <c r="S4003" s="6"/>
    </row>
    <row r="4004" spans="19:19" x14ac:dyDescent="0.3">
      <c r="S4004" s="6"/>
    </row>
    <row r="4005" spans="19:19" x14ac:dyDescent="0.3">
      <c r="S4005" s="6"/>
    </row>
    <row r="4006" spans="19:19" x14ac:dyDescent="0.3">
      <c r="S4006" s="6"/>
    </row>
    <row r="4007" spans="19:19" x14ac:dyDescent="0.3">
      <c r="S4007" s="6"/>
    </row>
    <row r="4008" spans="19:19" x14ac:dyDescent="0.3">
      <c r="S4008" s="6"/>
    </row>
    <row r="4009" spans="19:19" x14ac:dyDescent="0.3">
      <c r="S4009" s="6"/>
    </row>
    <row r="4010" spans="19:19" x14ac:dyDescent="0.3">
      <c r="S4010" s="6"/>
    </row>
    <row r="4011" spans="19:19" x14ac:dyDescent="0.3">
      <c r="S4011" s="6"/>
    </row>
    <row r="4012" spans="19:19" x14ac:dyDescent="0.3">
      <c r="S4012" s="6"/>
    </row>
    <row r="4013" spans="19:19" x14ac:dyDescent="0.3">
      <c r="S4013" s="6"/>
    </row>
    <row r="4014" spans="19:19" x14ac:dyDescent="0.3">
      <c r="S4014" s="6"/>
    </row>
    <row r="4015" spans="19:19" x14ac:dyDescent="0.3">
      <c r="S4015" s="6"/>
    </row>
    <row r="4016" spans="19:19" x14ac:dyDescent="0.3">
      <c r="S4016" s="6"/>
    </row>
    <row r="4017" spans="19:19" x14ac:dyDescent="0.3">
      <c r="S4017" s="6"/>
    </row>
    <row r="4018" spans="19:19" x14ac:dyDescent="0.3">
      <c r="S4018" s="6"/>
    </row>
    <row r="4019" spans="19:19" x14ac:dyDescent="0.3">
      <c r="S4019" s="6"/>
    </row>
    <row r="4020" spans="19:19" x14ac:dyDescent="0.3">
      <c r="S4020" s="6"/>
    </row>
    <row r="4021" spans="19:19" x14ac:dyDescent="0.3">
      <c r="S4021" s="6"/>
    </row>
    <row r="4022" spans="19:19" x14ac:dyDescent="0.3">
      <c r="S4022" s="6"/>
    </row>
    <row r="4023" spans="19:19" x14ac:dyDescent="0.3">
      <c r="S4023" s="6"/>
    </row>
    <row r="4024" spans="19:19" x14ac:dyDescent="0.3">
      <c r="S4024" s="6"/>
    </row>
    <row r="4025" spans="19:19" x14ac:dyDescent="0.3">
      <c r="S4025" s="6"/>
    </row>
    <row r="4026" spans="19:19" x14ac:dyDescent="0.3">
      <c r="S4026" s="6"/>
    </row>
    <row r="4027" spans="19:19" x14ac:dyDescent="0.3">
      <c r="S4027" s="6"/>
    </row>
    <row r="4028" spans="19:19" x14ac:dyDescent="0.3">
      <c r="S4028" s="6"/>
    </row>
    <row r="4029" spans="19:19" x14ac:dyDescent="0.3">
      <c r="S4029" s="6"/>
    </row>
    <row r="4030" spans="19:19" x14ac:dyDescent="0.3">
      <c r="S4030" s="6"/>
    </row>
    <row r="4031" spans="19:19" x14ac:dyDescent="0.3">
      <c r="S4031" s="6"/>
    </row>
    <row r="4032" spans="19:19" x14ac:dyDescent="0.3">
      <c r="S4032" s="6"/>
    </row>
    <row r="4033" spans="19:19" x14ac:dyDescent="0.3">
      <c r="S4033" s="6"/>
    </row>
    <row r="4034" spans="19:19" x14ac:dyDescent="0.3">
      <c r="S4034" s="6"/>
    </row>
    <row r="4035" spans="19:19" x14ac:dyDescent="0.3">
      <c r="S4035" s="6"/>
    </row>
    <row r="4036" spans="19:19" x14ac:dyDescent="0.3">
      <c r="S4036" s="6"/>
    </row>
    <row r="4037" spans="19:19" x14ac:dyDescent="0.3">
      <c r="S4037" s="6"/>
    </row>
    <row r="4038" spans="19:19" x14ac:dyDescent="0.3">
      <c r="S4038" s="6"/>
    </row>
    <row r="4039" spans="19:19" x14ac:dyDescent="0.3">
      <c r="S4039" s="6"/>
    </row>
    <row r="4040" spans="19:19" x14ac:dyDescent="0.3">
      <c r="S4040" s="6"/>
    </row>
    <row r="4041" spans="19:19" x14ac:dyDescent="0.3">
      <c r="S4041" s="6"/>
    </row>
    <row r="4042" spans="19:19" x14ac:dyDescent="0.3">
      <c r="S4042" s="6"/>
    </row>
    <row r="4043" spans="19:19" x14ac:dyDescent="0.3">
      <c r="S4043" s="6"/>
    </row>
    <row r="4044" spans="19:19" x14ac:dyDescent="0.3">
      <c r="S4044" s="6"/>
    </row>
    <row r="4045" spans="19:19" x14ac:dyDescent="0.3">
      <c r="S4045" s="6"/>
    </row>
    <row r="4046" spans="19:19" x14ac:dyDescent="0.3">
      <c r="S4046" s="6"/>
    </row>
    <row r="4047" spans="19:19" x14ac:dyDescent="0.3">
      <c r="S4047" s="6"/>
    </row>
    <row r="4048" spans="19:19" x14ac:dyDescent="0.3">
      <c r="S4048" s="6"/>
    </row>
    <row r="4049" spans="19:19" x14ac:dyDescent="0.3">
      <c r="S4049" s="6"/>
    </row>
    <row r="4050" spans="19:19" x14ac:dyDescent="0.3">
      <c r="S4050" s="6"/>
    </row>
    <row r="4051" spans="19:19" x14ac:dyDescent="0.3">
      <c r="S4051" s="6"/>
    </row>
    <row r="4052" spans="19:19" x14ac:dyDescent="0.3">
      <c r="S4052" s="6"/>
    </row>
    <row r="4053" spans="19:19" x14ac:dyDescent="0.3">
      <c r="S4053" s="6"/>
    </row>
    <row r="4054" spans="19:19" x14ac:dyDescent="0.3">
      <c r="S4054" s="6"/>
    </row>
    <row r="4055" spans="19:19" x14ac:dyDescent="0.3">
      <c r="S4055" s="6"/>
    </row>
    <row r="4056" spans="19:19" x14ac:dyDescent="0.3">
      <c r="S4056" s="6"/>
    </row>
    <row r="4057" spans="19:19" x14ac:dyDescent="0.3">
      <c r="S4057" s="6"/>
    </row>
    <row r="4058" spans="19:19" x14ac:dyDescent="0.3">
      <c r="S4058" s="6"/>
    </row>
    <row r="4059" spans="19:19" x14ac:dyDescent="0.3">
      <c r="S4059" s="6"/>
    </row>
    <row r="4060" spans="19:19" x14ac:dyDescent="0.3">
      <c r="S4060" s="6"/>
    </row>
    <row r="4061" spans="19:19" x14ac:dyDescent="0.3">
      <c r="S4061" s="6"/>
    </row>
    <row r="4062" spans="19:19" x14ac:dyDescent="0.3">
      <c r="S4062" s="6"/>
    </row>
    <row r="4063" spans="19:19" x14ac:dyDescent="0.3">
      <c r="S4063" s="6"/>
    </row>
    <row r="4064" spans="19:19" x14ac:dyDescent="0.3">
      <c r="S4064" s="6"/>
    </row>
    <row r="4065" spans="19:19" x14ac:dyDescent="0.3">
      <c r="S4065" s="6"/>
    </row>
    <row r="4066" spans="19:19" x14ac:dyDescent="0.3">
      <c r="S4066" s="6"/>
    </row>
    <row r="4067" spans="19:19" x14ac:dyDescent="0.3">
      <c r="S4067" s="6"/>
    </row>
    <row r="4068" spans="19:19" x14ac:dyDescent="0.3">
      <c r="S4068" s="6"/>
    </row>
    <row r="4069" spans="19:19" x14ac:dyDescent="0.3">
      <c r="S4069" s="6"/>
    </row>
    <row r="4070" spans="19:19" x14ac:dyDescent="0.3">
      <c r="S4070" s="6"/>
    </row>
    <row r="4071" spans="19:19" x14ac:dyDescent="0.3">
      <c r="S4071" s="6"/>
    </row>
    <row r="4072" spans="19:19" x14ac:dyDescent="0.3">
      <c r="S4072" s="6"/>
    </row>
    <row r="4073" spans="19:19" x14ac:dyDescent="0.3">
      <c r="S4073" s="6"/>
    </row>
    <row r="4074" spans="19:19" x14ac:dyDescent="0.3">
      <c r="S4074" s="6"/>
    </row>
    <row r="4075" spans="19:19" x14ac:dyDescent="0.3">
      <c r="S4075" s="6"/>
    </row>
    <row r="4076" spans="19:19" x14ac:dyDescent="0.3">
      <c r="S4076" s="6"/>
    </row>
    <row r="4077" spans="19:19" x14ac:dyDescent="0.3">
      <c r="S4077" s="6"/>
    </row>
    <row r="4078" spans="19:19" x14ac:dyDescent="0.3">
      <c r="S4078" s="6"/>
    </row>
    <row r="4079" spans="19:19" x14ac:dyDescent="0.3">
      <c r="S4079" s="6"/>
    </row>
    <row r="4080" spans="19:19" x14ac:dyDescent="0.3">
      <c r="S4080" s="6"/>
    </row>
    <row r="4081" spans="19:19" x14ac:dyDescent="0.3">
      <c r="S4081" s="6"/>
    </row>
    <row r="4082" spans="19:19" x14ac:dyDescent="0.3">
      <c r="S4082" s="6"/>
    </row>
    <row r="4083" spans="19:19" x14ac:dyDescent="0.3">
      <c r="S4083" s="6"/>
    </row>
    <row r="4084" spans="19:19" x14ac:dyDescent="0.3">
      <c r="S4084" s="6"/>
    </row>
    <row r="4085" spans="19:19" x14ac:dyDescent="0.3">
      <c r="S4085" s="6"/>
    </row>
    <row r="4086" spans="19:19" x14ac:dyDescent="0.3">
      <c r="S4086" s="6"/>
    </row>
    <row r="4087" spans="19:19" x14ac:dyDescent="0.3">
      <c r="S4087" s="6"/>
    </row>
    <row r="4088" spans="19:19" x14ac:dyDescent="0.3">
      <c r="S4088" s="6"/>
    </row>
    <row r="4089" spans="19:19" x14ac:dyDescent="0.3">
      <c r="S4089" s="6"/>
    </row>
    <row r="4090" spans="19:19" x14ac:dyDescent="0.3">
      <c r="S4090" s="6"/>
    </row>
    <row r="4091" spans="19:19" x14ac:dyDescent="0.3">
      <c r="S4091" s="6"/>
    </row>
    <row r="4092" spans="19:19" x14ac:dyDescent="0.3">
      <c r="S4092" s="6"/>
    </row>
    <row r="4093" spans="19:19" x14ac:dyDescent="0.3">
      <c r="S4093" s="6"/>
    </row>
    <row r="4094" spans="19:19" x14ac:dyDescent="0.3">
      <c r="S4094" s="6"/>
    </row>
    <row r="4095" spans="19:19" x14ac:dyDescent="0.3">
      <c r="S4095" s="6"/>
    </row>
    <row r="4096" spans="19:19" x14ac:dyDescent="0.3">
      <c r="S4096" s="6"/>
    </row>
    <row r="4097" spans="19:19" x14ac:dyDescent="0.3">
      <c r="S4097" s="6"/>
    </row>
    <row r="4098" spans="19:19" x14ac:dyDescent="0.3">
      <c r="S4098" s="6"/>
    </row>
    <row r="4099" spans="19:19" x14ac:dyDescent="0.3">
      <c r="S4099" s="6"/>
    </row>
    <row r="4100" spans="19:19" x14ac:dyDescent="0.3">
      <c r="S4100" s="6"/>
    </row>
    <row r="4101" spans="19:19" x14ac:dyDescent="0.3">
      <c r="S4101" s="6"/>
    </row>
    <row r="4102" spans="19:19" x14ac:dyDescent="0.3">
      <c r="S4102" s="6"/>
    </row>
    <row r="4103" spans="19:19" x14ac:dyDescent="0.3">
      <c r="S4103" s="6"/>
    </row>
    <row r="4104" spans="19:19" x14ac:dyDescent="0.3">
      <c r="S4104" s="6"/>
    </row>
    <row r="4105" spans="19:19" x14ac:dyDescent="0.3">
      <c r="S4105" s="6"/>
    </row>
    <row r="4106" spans="19:19" x14ac:dyDescent="0.3">
      <c r="S4106" s="6"/>
    </row>
    <row r="4107" spans="19:19" x14ac:dyDescent="0.3">
      <c r="S4107" s="6"/>
    </row>
    <row r="4108" spans="19:19" x14ac:dyDescent="0.3">
      <c r="S4108" s="6"/>
    </row>
    <row r="4109" spans="19:19" x14ac:dyDescent="0.3">
      <c r="S4109" s="6"/>
    </row>
    <row r="4110" spans="19:19" x14ac:dyDescent="0.3">
      <c r="S4110" s="6"/>
    </row>
    <row r="4111" spans="19:19" x14ac:dyDescent="0.3">
      <c r="S4111" s="6"/>
    </row>
    <row r="4112" spans="19:19" x14ac:dyDescent="0.3">
      <c r="S4112" s="6"/>
    </row>
    <row r="4113" spans="19:19" x14ac:dyDescent="0.3">
      <c r="S4113" s="6"/>
    </row>
    <row r="4114" spans="19:19" x14ac:dyDescent="0.3">
      <c r="S4114" s="6"/>
    </row>
    <row r="4115" spans="19:19" x14ac:dyDescent="0.3">
      <c r="S4115" s="6"/>
    </row>
    <row r="4116" spans="19:19" x14ac:dyDescent="0.3">
      <c r="S4116" s="6"/>
    </row>
    <row r="4117" spans="19:19" x14ac:dyDescent="0.3">
      <c r="S4117" s="6"/>
    </row>
    <row r="4118" spans="19:19" x14ac:dyDescent="0.3">
      <c r="S4118" s="6"/>
    </row>
    <row r="4119" spans="19:19" x14ac:dyDescent="0.3">
      <c r="S4119" s="6"/>
    </row>
    <row r="4120" spans="19:19" x14ac:dyDescent="0.3">
      <c r="S4120" s="6"/>
    </row>
    <row r="4121" spans="19:19" x14ac:dyDescent="0.3">
      <c r="S4121" s="6"/>
    </row>
    <row r="4122" spans="19:19" x14ac:dyDescent="0.3">
      <c r="S4122" s="6"/>
    </row>
    <row r="4123" spans="19:19" x14ac:dyDescent="0.3">
      <c r="S4123" s="6"/>
    </row>
    <row r="4124" spans="19:19" x14ac:dyDescent="0.3">
      <c r="S4124" s="6"/>
    </row>
    <row r="4125" spans="19:19" x14ac:dyDescent="0.3">
      <c r="S4125" s="6"/>
    </row>
    <row r="4126" spans="19:19" x14ac:dyDescent="0.3">
      <c r="S4126" s="6"/>
    </row>
    <row r="4127" spans="19:19" x14ac:dyDescent="0.3">
      <c r="S4127" s="6"/>
    </row>
    <row r="4128" spans="19:19" x14ac:dyDescent="0.3">
      <c r="S4128" s="6"/>
    </row>
    <row r="4129" spans="19:19" x14ac:dyDescent="0.3">
      <c r="S4129" s="6"/>
    </row>
    <row r="4130" spans="19:19" x14ac:dyDescent="0.3">
      <c r="S4130" s="6"/>
    </row>
    <row r="4131" spans="19:19" x14ac:dyDescent="0.3">
      <c r="S4131" s="6"/>
    </row>
    <row r="4132" spans="19:19" x14ac:dyDescent="0.3">
      <c r="S4132" s="6"/>
    </row>
    <row r="4133" spans="19:19" x14ac:dyDescent="0.3">
      <c r="S4133" s="6"/>
    </row>
    <row r="4134" spans="19:19" x14ac:dyDescent="0.3">
      <c r="S4134" s="6"/>
    </row>
    <row r="4135" spans="19:19" x14ac:dyDescent="0.3">
      <c r="S4135" s="6"/>
    </row>
    <row r="4136" spans="19:19" x14ac:dyDescent="0.3">
      <c r="S4136" s="6"/>
    </row>
    <row r="4137" spans="19:19" x14ac:dyDescent="0.3">
      <c r="S4137" s="6"/>
    </row>
    <row r="4138" spans="19:19" x14ac:dyDescent="0.3">
      <c r="S4138" s="6"/>
    </row>
    <row r="4139" spans="19:19" x14ac:dyDescent="0.3">
      <c r="S4139" s="6"/>
    </row>
    <row r="4140" spans="19:19" x14ac:dyDescent="0.3">
      <c r="S4140" s="6"/>
    </row>
    <row r="4141" spans="19:19" x14ac:dyDescent="0.3">
      <c r="S4141" s="6"/>
    </row>
    <row r="4142" spans="19:19" x14ac:dyDescent="0.3">
      <c r="S4142" s="6"/>
    </row>
    <row r="4143" spans="19:19" x14ac:dyDescent="0.3">
      <c r="S4143" s="6"/>
    </row>
    <row r="4144" spans="19:19" x14ac:dyDescent="0.3">
      <c r="S4144" s="6"/>
    </row>
    <row r="4145" spans="19:19" x14ac:dyDescent="0.3">
      <c r="S4145" s="6"/>
    </row>
    <row r="4146" spans="19:19" x14ac:dyDescent="0.3">
      <c r="S4146" s="6"/>
    </row>
    <row r="4147" spans="19:19" x14ac:dyDescent="0.3">
      <c r="S4147" s="6"/>
    </row>
    <row r="4148" spans="19:19" x14ac:dyDescent="0.3">
      <c r="S4148" s="6"/>
    </row>
    <row r="4149" spans="19:19" x14ac:dyDescent="0.3">
      <c r="S4149" s="6"/>
    </row>
    <row r="4150" spans="19:19" x14ac:dyDescent="0.3">
      <c r="S4150" s="6"/>
    </row>
    <row r="4151" spans="19:19" x14ac:dyDescent="0.3">
      <c r="S4151" s="6"/>
    </row>
    <row r="4152" spans="19:19" x14ac:dyDescent="0.3">
      <c r="S4152" s="6"/>
    </row>
    <row r="4153" spans="19:19" x14ac:dyDescent="0.3">
      <c r="S4153" s="6"/>
    </row>
    <row r="4154" spans="19:19" x14ac:dyDescent="0.3">
      <c r="S4154" s="6"/>
    </row>
    <row r="4155" spans="19:19" x14ac:dyDescent="0.3">
      <c r="S4155" s="6"/>
    </row>
    <row r="4156" spans="19:19" x14ac:dyDescent="0.3">
      <c r="S4156" s="6"/>
    </row>
    <row r="4157" spans="19:19" x14ac:dyDescent="0.3">
      <c r="S4157" s="6"/>
    </row>
    <row r="4158" spans="19:19" x14ac:dyDescent="0.3">
      <c r="S4158" s="6"/>
    </row>
    <row r="4159" spans="19:19" x14ac:dyDescent="0.3">
      <c r="S4159" s="6"/>
    </row>
    <row r="4160" spans="19:19" x14ac:dyDescent="0.3">
      <c r="S4160" s="6"/>
    </row>
    <row r="4161" spans="19:19" x14ac:dyDescent="0.3">
      <c r="S4161" s="6"/>
    </row>
    <row r="4162" spans="19:19" x14ac:dyDescent="0.3">
      <c r="S4162" s="6"/>
    </row>
    <row r="4163" spans="19:19" x14ac:dyDescent="0.3">
      <c r="S4163" s="6"/>
    </row>
    <row r="4164" spans="19:19" x14ac:dyDescent="0.3">
      <c r="S4164" s="6"/>
    </row>
    <row r="4165" spans="19:19" x14ac:dyDescent="0.3">
      <c r="S4165" s="6"/>
    </row>
    <row r="4166" spans="19:19" x14ac:dyDescent="0.3">
      <c r="S4166" s="6"/>
    </row>
    <row r="4167" spans="19:19" x14ac:dyDescent="0.3">
      <c r="S4167" s="6"/>
    </row>
    <row r="4168" spans="19:19" x14ac:dyDescent="0.3">
      <c r="S4168" s="6"/>
    </row>
    <row r="4169" spans="19:19" x14ac:dyDescent="0.3">
      <c r="S4169" s="6"/>
    </row>
    <row r="4170" spans="19:19" x14ac:dyDescent="0.3">
      <c r="S4170" s="6"/>
    </row>
    <row r="4171" spans="19:19" x14ac:dyDescent="0.3">
      <c r="S4171" s="6"/>
    </row>
    <row r="4172" spans="19:19" x14ac:dyDescent="0.3">
      <c r="S4172" s="6"/>
    </row>
    <row r="4173" spans="19:19" x14ac:dyDescent="0.3">
      <c r="S4173" s="6"/>
    </row>
    <row r="4174" spans="19:19" x14ac:dyDescent="0.3">
      <c r="S4174" s="6"/>
    </row>
    <row r="4175" spans="19:19" x14ac:dyDescent="0.3">
      <c r="S4175" s="6"/>
    </row>
    <row r="4176" spans="19:19" x14ac:dyDescent="0.3">
      <c r="S4176" s="6"/>
    </row>
    <row r="4177" spans="19:19" x14ac:dyDescent="0.3">
      <c r="S4177" s="6"/>
    </row>
    <row r="4178" spans="19:19" x14ac:dyDescent="0.3">
      <c r="S4178" s="6"/>
    </row>
    <row r="4179" spans="19:19" x14ac:dyDescent="0.3">
      <c r="S4179" s="6"/>
    </row>
    <row r="4180" spans="19:19" x14ac:dyDescent="0.3">
      <c r="S4180" s="6"/>
    </row>
    <row r="4181" spans="19:19" x14ac:dyDescent="0.3">
      <c r="S4181" s="6"/>
    </row>
    <row r="4182" spans="19:19" x14ac:dyDescent="0.3">
      <c r="S4182" s="6"/>
    </row>
    <row r="4183" spans="19:19" x14ac:dyDescent="0.3">
      <c r="S4183" s="6"/>
    </row>
    <row r="4184" spans="19:19" x14ac:dyDescent="0.3">
      <c r="S4184" s="6"/>
    </row>
    <row r="4185" spans="19:19" x14ac:dyDescent="0.3">
      <c r="S4185" s="6"/>
    </row>
    <row r="4186" spans="19:19" x14ac:dyDescent="0.3">
      <c r="S4186" s="6"/>
    </row>
    <row r="4187" spans="19:19" x14ac:dyDescent="0.3">
      <c r="S4187" s="6"/>
    </row>
    <row r="4188" spans="19:19" x14ac:dyDescent="0.3">
      <c r="S4188" s="6"/>
    </row>
    <row r="4189" spans="19:19" x14ac:dyDescent="0.3">
      <c r="S4189" s="6"/>
    </row>
    <row r="4190" spans="19:19" x14ac:dyDescent="0.3">
      <c r="S4190" s="6"/>
    </row>
    <row r="4191" spans="19:19" x14ac:dyDescent="0.3">
      <c r="S4191" s="6"/>
    </row>
    <row r="4192" spans="19:19" x14ac:dyDescent="0.3">
      <c r="S4192" s="6"/>
    </row>
    <row r="4193" spans="19:19" x14ac:dyDescent="0.3">
      <c r="S4193" s="6"/>
    </row>
    <row r="4194" spans="19:19" x14ac:dyDescent="0.3">
      <c r="S4194" s="6"/>
    </row>
    <row r="4195" spans="19:19" x14ac:dyDescent="0.3">
      <c r="S4195" s="6"/>
    </row>
    <row r="4196" spans="19:19" x14ac:dyDescent="0.3">
      <c r="S4196" s="6"/>
    </row>
    <row r="4197" spans="19:19" x14ac:dyDescent="0.3">
      <c r="S4197" s="6"/>
    </row>
    <row r="4198" spans="19:19" x14ac:dyDescent="0.3">
      <c r="S4198" s="6"/>
    </row>
    <row r="4199" spans="19:19" x14ac:dyDescent="0.3">
      <c r="S4199" s="6"/>
    </row>
    <row r="4200" spans="19:19" x14ac:dyDescent="0.3">
      <c r="S4200" s="6"/>
    </row>
    <row r="4201" spans="19:19" x14ac:dyDescent="0.3">
      <c r="S4201" s="6"/>
    </row>
    <row r="4202" spans="19:19" x14ac:dyDescent="0.3">
      <c r="S4202" s="6"/>
    </row>
    <row r="4203" spans="19:19" x14ac:dyDescent="0.3">
      <c r="S4203" s="6"/>
    </row>
    <row r="4204" spans="19:19" x14ac:dyDescent="0.3">
      <c r="S4204" s="6"/>
    </row>
    <row r="4205" spans="19:19" x14ac:dyDescent="0.3">
      <c r="S4205" s="6"/>
    </row>
    <row r="4206" spans="19:19" x14ac:dyDescent="0.3">
      <c r="S4206" s="6"/>
    </row>
    <row r="4207" spans="19:19" x14ac:dyDescent="0.3">
      <c r="S4207" s="6"/>
    </row>
    <row r="4208" spans="19:19" x14ac:dyDescent="0.3">
      <c r="S4208" s="6"/>
    </row>
    <row r="4209" spans="19:19" x14ac:dyDescent="0.3">
      <c r="S4209" s="6"/>
    </row>
    <row r="4210" spans="19:19" x14ac:dyDescent="0.3">
      <c r="S4210" s="6"/>
    </row>
    <row r="4211" spans="19:19" x14ac:dyDescent="0.3">
      <c r="S4211" s="6"/>
    </row>
    <row r="4212" spans="19:19" x14ac:dyDescent="0.3">
      <c r="S4212" s="6"/>
    </row>
    <row r="4213" spans="19:19" x14ac:dyDescent="0.3">
      <c r="S4213" s="6"/>
    </row>
    <row r="4214" spans="19:19" x14ac:dyDescent="0.3">
      <c r="S4214" s="6"/>
    </row>
    <row r="4215" spans="19:19" x14ac:dyDescent="0.3">
      <c r="S4215" s="6"/>
    </row>
    <row r="4216" spans="19:19" x14ac:dyDescent="0.3">
      <c r="S4216" s="6"/>
    </row>
    <row r="4217" spans="19:19" x14ac:dyDescent="0.3">
      <c r="S4217" s="6"/>
    </row>
    <row r="4218" spans="19:19" x14ac:dyDescent="0.3">
      <c r="S4218" s="6"/>
    </row>
    <row r="4219" spans="19:19" x14ac:dyDescent="0.3">
      <c r="S4219" s="6"/>
    </row>
    <row r="4220" spans="19:19" x14ac:dyDescent="0.3">
      <c r="S4220" s="6"/>
    </row>
    <row r="4221" spans="19:19" x14ac:dyDescent="0.3">
      <c r="S4221" s="6"/>
    </row>
    <row r="4222" spans="19:19" x14ac:dyDescent="0.3">
      <c r="S4222" s="6"/>
    </row>
    <row r="4223" spans="19:19" x14ac:dyDescent="0.3">
      <c r="S4223" s="6"/>
    </row>
    <row r="4224" spans="19:19" x14ac:dyDescent="0.3">
      <c r="S4224" s="6"/>
    </row>
    <row r="4225" spans="19:19" x14ac:dyDescent="0.3">
      <c r="S4225" s="6"/>
    </row>
    <row r="4226" spans="19:19" x14ac:dyDescent="0.3">
      <c r="S4226" s="6"/>
    </row>
    <row r="4227" spans="19:19" x14ac:dyDescent="0.3">
      <c r="S4227" s="6"/>
    </row>
    <row r="4228" spans="19:19" x14ac:dyDescent="0.3">
      <c r="S4228" s="6"/>
    </row>
    <row r="4229" spans="19:19" x14ac:dyDescent="0.3">
      <c r="S4229" s="6"/>
    </row>
    <row r="4230" spans="19:19" x14ac:dyDescent="0.3">
      <c r="S4230" s="6"/>
    </row>
    <row r="4231" spans="19:19" x14ac:dyDescent="0.3">
      <c r="S4231" s="6"/>
    </row>
    <row r="4232" spans="19:19" x14ac:dyDescent="0.3">
      <c r="S4232" s="6"/>
    </row>
    <row r="4233" spans="19:19" x14ac:dyDescent="0.3">
      <c r="S4233" s="6"/>
    </row>
    <row r="4234" spans="19:19" x14ac:dyDescent="0.3">
      <c r="S4234" s="6"/>
    </row>
    <row r="4235" spans="19:19" x14ac:dyDescent="0.3">
      <c r="S4235" s="6"/>
    </row>
    <row r="4236" spans="19:19" x14ac:dyDescent="0.3">
      <c r="S4236" s="6"/>
    </row>
    <row r="4237" spans="19:19" x14ac:dyDescent="0.3">
      <c r="S4237" s="6"/>
    </row>
    <row r="4238" spans="19:19" x14ac:dyDescent="0.3">
      <c r="S4238" s="6"/>
    </row>
    <row r="4239" spans="19:19" x14ac:dyDescent="0.3">
      <c r="S4239" s="6"/>
    </row>
    <row r="4240" spans="19:19" x14ac:dyDescent="0.3">
      <c r="S4240" s="6"/>
    </row>
    <row r="4241" spans="19:19" x14ac:dyDescent="0.3">
      <c r="S4241" s="6"/>
    </row>
    <row r="4242" spans="19:19" x14ac:dyDescent="0.3">
      <c r="S4242" s="6"/>
    </row>
    <row r="4243" spans="19:19" x14ac:dyDescent="0.3">
      <c r="S4243" s="6"/>
    </row>
    <row r="4244" spans="19:19" x14ac:dyDescent="0.3">
      <c r="S4244" s="6"/>
    </row>
    <row r="4245" spans="19:19" x14ac:dyDescent="0.3">
      <c r="S4245" s="6"/>
    </row>
    <row r="4246" spans="19:19" x14ac:dyDescent="0.3">
      <c r="S4246" s="6"/>
    </row>
    <row r="4247" spans="19:19" x14ac:dyDescent="0.3">
      <c r="S4247" s="6"/>
    </row>
    <row r="4248" spans="19:19" x14ac:dyDescent="0.3">
      <c r="S4248" s="6"/>
    </row>
    <row r="4249" spans="19:19" x14ac:dyDescent="0.3">
      <c r="S4249" s="6"/>
    </row>
    <row r="4250" spans="19:19" x14ac:dyDescent="0.3">
      <c r="S4250" s="6"/>
    </row>
    <row r="4251" spans="19:19" x14ac:dyDescent="0.3">
      <c r="S4251" s="6"/>
    </row>
    <row r="4252" spans="19:19" x14ac:dyDescent="0.3">
      <c r="S4252" s="6"/>
    </row>
    <row r="4253" spans="19:19" x14ac:dyDescent="0.3">
      <c r="S4253" s="6"/>
    </row>
    <row r="4254" spans="19:19" x14ac:dyDescent="0.3">
      <c r="S4254" s="6"/>
    </row>
    <row r="4255" spans="19:19" x14ac:dyDescent="0.3">
      <c r="S4255" s="6"/>
    </row>
    <row r="4256" spans="19:19" x14ac:dyDescent="0.3">
      <c r="S4256" s="6"/>
    </row>
    <row r="4257" spans="19:19" x14ac:dyDescent="0.3">
      <c r="S4257" s="6"/>
    </row>
    <row r="4258" spans="19:19" x14ac:dyDescent="0.3">
      <c r="S4258" s="6"/>
    </row>
    <row r="4259" spans="19:19" x14ac:dyDescent="0.3">
      <c r="S4259" s="6"/>
    </row>
    <row r="4260" spans="19:19" x14ac:dyDescent="0.3">
      <c r="S4260" s="6"/>
    </row>
    <row r="4261" spans="19:19" x14ac:dyDescent="0.3">
      <c r="S4261" s="6"/>
    </row>
    <row r="4262" spans="19:19" x14ac:dyDescent="0.3">
      <c r="S4262" s="6"/>
    </row>
    <row r="4263" spans="19:19" x14ac:dyDescent="0.3">
      <c r="S4263" s="6"/>
    </row>
    <row r="4264" spans="19:19" x14ac:dyDescent="0.3">
      <c r="S4264" s="6"/>
    </row>
    <row r="4265" spans="19:19" x14ac:dyDescent="0.3">
      <c r="S4265" s="6"/>
    </row>
    <row r="4266" spans="19:19" x14ac:dyDescent="0.3">
      <c r="S4266" s="6"/>
    </row>
    <row r="4267" spans="19:19" x14ac:dyDescent="0.3">
      <c r="S4267" s="6"/>
    </row>
    <row r="4268" spans="19:19" x14ac:dyDescent="0.3">
      <c r="S4268" s="6"/>
    </row>
    <row r="4269" spans="19:19" x14ac:dyDescent="0.3">
      <c r="S4269" s="6"/>
    </row>
    <row r="4270" spans="19:19" x14ac:dyDescent="0.3">
      <c r="S4270" s="6"/>
    </row>
    <row r="4271" spans="19:19" x14ac:dyDescent="0.3">
      <c r="S4271" s="6"/>
    </row>
    <row r="4272" spans="19:19" x14ac:dyDescent="0.3">
      <c r="S4272" s="6"/>
    </row>
    <row r="4273" spans="19:19" x14ac:dyDescent="0.3">
      <c r="S4273" s="6"/>
    </row>
    <row r="4274" spans="19:19" x14ac:dyDescent="0.3">
      <c r="S4274" s="6"/>
    </row>
    <row r="4275" spans="19:19" x14ac:dyDescent="0.3">
      <c r="S4275" s="6"/>
    </row>
    <row r="4276" spans="19:19" x14ac:dyDescent="0.3">
      <c r="S4276" s="6"/>
    </row>
    <row r="4277" spans="19:19" x14ac:dyDescent="0.3">
      <c r="S4277" s="6"/>
    </row>
    <row r="4278" spans="19:19" x14ac:dyDescent="0.3">
      <c r="S4278" s="6"/>
    </row>
    <row r="4279" spans="19:19" x14ac:dyDescent="0.3">
      <c r="S4279" s="6"/>
    </row>
    <row r="4280" spans="19:19" x14ac:dyDescent="0.3">
      <c r="S4280" s="6"/>
    </row>
    <row r="4281" spans="19:19" x14ac:dyDescent="0.3">
      <c r="S4281" s="6"/>
    </row>
    <row r="4282" spans="19:19" x14ac:dyDescent="0.3">
      <c r="S4282" s="6"/>
    </row>
    <row r="4283" spans="19:19" x14ac:dyDescent="0.3">
      <c r="S4283" s="6"/>
    </row>
    <row r="4284" spans="19:19" x14ac:dyDescent="0.3">
      <c r="S4284" s="6"/>
    </row>
    <row r="4285" spans="19:19" x14ac:dyDescent="0.3">
      <c r="S4285" s="6"/>
    </row>
    <row r="4286" spans="19:19" x14ac:dyDescent="0.3">
      <c r="S4286" s="6"/>
    </row>
    <row r="4287" spans="19:19" x14ac:dyDescent="0.3">
      <c r="S4287" s="6"/>
    </row>
    <row r="4288" spans="19:19" x14ac:dyDescent="0.3">
      <c r="S4288" s="6"/>
    </row>
    <row r="4289" spans="19:19" x14ac:dyDescent="0.3">
      <c r="S4289" s="6"/>
    </row>
    <row r="4290" spans="19:19" x14ac:dyDescent="0.3">
      <c r="S4290" s="6"/>
    </row>
    <row r="4291" spans="19:19" x14ac:dyDescent="0.3">
      <c r="S4291" s="6"/>
    </row>
    <row r="4292" spans="19:19" x14ac:dyDescent="0.3">
      <c r="S4292" s="6"/>
    </row>
    <row r="4293" spans="19:19" x14ac:dyDescent="0.3">
      <c r="S4293" s="6"/>
    </row>
    <row r="4294" spans="19:19" x14ac:dyDescent="0.3">
      <c r="S4294" s="6"/>
    </row>
    <row r="4295" spans="19:19" x14ac:dyDescent="0.3">
      <c r="S4295" s="6"/>
    </row>
    <row r="4296" spans="19:19" x14ac:dyDescent="0.3">
      <c r="S4296" s="6"/>
    </row>
    <row r="4297" spans="19:19" x14ac:dyDescent="0.3">
      <c r="S4297" s="6"/>
    </row>
    <row r="4298" spans="19:19" x14ac:dyDescent="0.3">
      <c r="S4298" s="6"/>
    </row>
    <row r="4299" spans="19:19" x14ac:dyDescent="0.3">
      <c r="S4299" s="6"/>
    </row>
    <row r="4300" spans="19:19" x14ac:dyDescent="0.3">
      <c r="S4300" s="6"/>
    </row>
    <row r="4301" spans="19:19" x14ac:dyDescent="0.3">
      <c r="S4301" s="6"/>
    </row>
    <row r="4302" spans="19:19" x14ac:dyDescent="0.3">
      <c r="S4302" s="6"/>
    </row>
    <row r="4303" spans="19:19" x14ac:dyDescent="0.3">
      <c r="S4303" s="6"/>
    </row>
    <row r="4304" spans="19:19" x14ac:dyDescent="0.3">
      <c r="S4304" s="6"/>
    </row>
    <row r="4305" spans="19:19" x14ac:dyDescent="0.3">
      <c r="S4305" s="6"/>
    </row>
    <row r="4306" spans="19:19" x14ac:dyDescent="0.3">
      <c r="S4306" s="6"/>
    </row>
    <row r="4307" spans="19:19" x14ac:dyDescent="0.3">
      <c r="S4307" s="6"/>
    </row>
    <row r="4308" spans="19:19" x14ac:dyDescent="0.3">
      <c r="S4308" s="6"/>
    </row>
    <row r="4309" spans="19:19" x14ac:dyDescent="0.3">
      <c r="S4309" s="6"/>
    </row>
    <row r="4310" spans="19:19" x14ac:dyDescent="0.3">
      <c r="S4310" s="6"/>
    </row>
    <row r="4311" spans="19:19" x14ac:dyDescent="0.3">
      <c r="S4311" s="6"/>
    </row>
    <row r="4312" spans="19:19" x14ac:dyDescent="0.3">
      <c r="S4312" s="6"/>
    </row>
    <row r="4313" spans="19:19" x14ac:dyDescent="0.3">
      <c r="S4313" s="6"/>
    </row>
    <row r="4314" spans="19:19" x14ac:dyDescent="0.3">
      <c r="S4314" s="6"/>
    </row>
    <row r="4315" spans="19:19" x14ac:dyDescent="0.3">
      <c r="S4315" s="6"/>
    </row>
    <row r="4316" spans="19:19" x14ac:dyDescent="0.3">
      <c r="S4316" s="6"/>
    </row>
    <row r="4317" spans="19:19" x14ac:dyDescent="0.3">
      <c r="S4317" s="6"/>
    </row>
    <row r="4318" spans="19:19" x14ac:dyDescent="0.3">
      <c r="S4318" s="6"/>
    </row>
    <row r="4319" spans="19:19" x14ac:dyDescent="0.3">
      <c r="S4319" s="6"/>
    </row>
    <row r="4320" spans="19:19" x14ac:dyDescent="0.3">
      <c r="S4320" s="6"/>
    </row>
    <row r="4321" spans="19:19" x14ac:dyDescent="0.3">
      <c r="S4321" s="6"/>
    </row>
    <row r="4322" spans="19:19" x14ac:dyDescent="0.3">
      <c r="S4322" s="6"/>
    </row>
    <row r="4323" spans="19:19" x14ac:dyDescent="0.3">
      <c r="S4323" s="6"/>
    </row>
    <row r="4324" spans="19:19" x14ac:dyDescent="0.3">
      <c r="S4324" s="6"/>
    </row>
    <row r="4325" spans="19:19" x14ac:dyDescent="0.3">
      <c r="S4325" s="6"/>
    </row>
    <row r="4326" spans="19:19" x14ac:dyDescent="0.3">
      <c r="S4326" s="6"/>
    </row>
    <row r="4327" spans="19:19" x14ac:dyDescent="0.3">
      <c r="S4327" s="6"/>
    </row>
    <row r="4328" spans="19:19" x14ac:dyDescent="0.3">
      <c r="S4328" s="6"/>
    </row>
    <row r="4329" spans="19:19" x14ac:dyDescent="0.3">
      <c r="S4329" s="6"/>
    </row>
    <row r="4330" spans="19:19" x14ac:dyDescent="0.3">
      <c r="S4330" s="6"/>
    </row>
    <row r="4331" spans="19:19" x14ac:dyDescent="0.3">
      <c r="S4331" s="6"/>
    </row>
    <row r="4332" spans="19:19" x14ac:dyDescent="0.3">
      <c r="S4332" s="6"/>
    </row>
    <row r="4333" spans="19:19" x14ac:dyDescent="0.3">
      <c r="S4333" s="6"/>
    </row>
    <row r="4334" spans="19:19" x14ac:dyDescent="0.3">
      <c r="S4334" s="6"/>
    </row>
    <row r="4335" spans="19:19" x14ac:dyDescent="0.3">
      <c r="S4335" s="6"/>
    </row>
    <row r="4336" spans="19:19" x14ac:dyDescent="0.3">
      <c r="S4336" s="6"/>
    </row>
    <row r="4337" spans="19:19" x14ac:dyDescent="0.3">
      <c r="S4337" s="6"/>
    </row>
    <row r="4338" spans="19:19" x14ac:dyDescent="0.3">
      <c r="S4338" s="6"/>
    </row>
    <row r="4339" spans="19:19" x14ac:dyDescent="0.3">
      <c r="S4339" s="6"/>
    </row>
    <row r="4340" spans="19:19" x14ac:dyDescent="0.3">
      <c r="S4340" s="6"/>
    </row>
    <row r="4341" spans="19:19" x14ac:dyDescent="0.3">
      <c r="S4341" s="6"/>
    </row>
    <row r="4342" spans="19:19" x14ac:dyDescent="0.3">
      <c r="S4342" s="6"/>
    </row>
    <row r="4343" spans="19:19" x14ac:dyDescent="0.3">
      <c r="S4343" s="6"/>
    </row>
    <row r="4344" spans="19:19" x14ac:dyDescent="0.3">
      <c r="S4344" s="6"/>
    </row>
    <row r="4345" spans="19:19" x14ac:dyDescent="0.3">
      <c r="S4345" s="6"/>
    </row>
    <row r="4346" spans="19:19" x14ac:dyDescent="0.3">
      <c r="S4346" s="6"/>
    </row>
    <row r="4347" spans="19:19" x14ac:dyDescent="0.3">
      <c r="S4347" s="6"/>
    </row>
    <row r="4348" spans="19:19" x14ac:dyDescent="0.3">
      <c r="S4348" s="6"/>
    </row>
    <row r="4349" spans="19:19" x14ac:dyDescent="0.3">
      <c r="S4349" s="6"/>
    </row>
    <row r="4350" spans="19:19" x14ac:dyDescent="0.3">
      <c r="S4350" s="6"/>
    </row>
    <row r="4351" spans="19:19" x14ac:dyDescent="0.3">
      <c r="S4351" s="6"/>
    </row>
    <row r="4352" spans="19:19" x14ac:dyDescent="0.3">
      <c r="S4352" s="6"/>
    </row>
    <row r="4353" spans="19:19" x14ac:dyDescent="0.3">
      <c r="S4353" s="6"/>
    </row>
    <row r="4354" spans="19:19" x14ac:dyDescent="0.3">
      <c r="S4354" s="6"/>
    </row>
    <row r="4355" spans="19:19" x14ac:dyDescent="0.3">
      <c r="S4355" s="6"/>
    </row>
    <row r="4356" spans="19:19" x14ac:dyDescent="0.3">
      <c r="S4356" s="6"/>
    </row>
    <row r="4357" spans="19:19" x14ac:dyDescent="0.3">
      <c r="S4357" s="6"/>
    </row>
    <row r="4358" spans="19:19" x14ac:dyDescent="0.3">
      <c r="S4358" s="6"/>
    </row>
    <row r="4359" spans="19:19" x14ac:dyDescent="0.3">
      <c r="S4359" s="6"/>
    </row>
    <row r="4360" spans="19:19" x14ac:dyDescent="0.3">
      <c r="S4360" s="6"/>
    </row>
    <row r="4361" spans="19:19" x14ac:dyDescent="0.3">
      <c r="S4361" s="6"/>
    </row>
    <row r="4362" spans="19:19" x14ac:dyDescent="0.3">
      <c r="S4362" s="6"/>
    </row>
    <row r="4363" spans="19:19" x14ac:dyDescent="0.3">
      <c r="S4363" s="6"/>
    </row>
    <row r="4364" spans="19:19" x14ac:dyDescent="0.3">
      <c r="S4364" s="6"/>
    </row>
    <row r="4365" spans="19:19" x14ac:dyDescent="0.3">
      <c r="S4365" s="6"/>
    </row>
    <row r="4366" spans="19:19" x14ac:dyDescent="0.3">
      <c r="S4366" s="6"/>
    </row>
    <row r="4367" spans="19:19" x14ac:dyDescent="0.3">
      <c r="S4367" s="6"/>
    </row>
    <row r="4368" spans="19:19" x14ac:dyDescent="0.3">
      <c r="S4368" s="6"/>
    </row>
    <row r="4369" spans="19:19" x14ac:dyDescent="0.3">
      <c r="S4369" s="6"/>
    </row>
    <row r="4370" spans="19:19" x14ac:dyDescent="0.3">
      <c r="S4370" s="6"/>
    </row>
    <row r="4371" spans="19:19" x14ac:dyDescent="0.3">
      <c r="S4371" s="6"/>
    </row>
    <row r="4372" spans="19:19" x14ac:dyDescent="0.3">
      <c r="S4372" s="6"/>
    </row>
    <row r="4373" spans="19:19" x14ac:dyDescent="0.3">
      <c r="S4373" s="6"/>
    </row>
    <row r="4374" spans="19:19" x14ac:dyDescent="0.3">
      <c r="S4374" s="6"/>
    </row>
    <row r="4375" spans="19:19" x14ac:dyDescent="0.3">
      <c r="S4375" s="6"/>
    </row>
    <row r="4376" spans="19:19" x14ac:dyDescent="0.3">
      <c r="S4376" s="6"/>
    </row>
    <row r="4377" spans="19:19" x14ac:dyDescent="0.3">
      <c r="S4377" s="6"/>
    </row>
    <row r="4378" spans="19:19" x14ac:dyDescent="0.3">
      <c r="S4378" s="6"/>
    </row>
    <row r="4379" spans="19:19" x14ac:dyDescent="0.3">
      <c r="S4379" s="6"/>
    </row>
    <row r="4380" spans="19:19" x14ac:dyDescent="0.3">
      <c r="S4380" s="6"/>
    </row>
    <row r="4381" spans="19:19" x14ac:dyDescent="0.3">
      <c r="S4381" s="6"/>
    </row>
    <row r="4382" spans="19:19" x14ac:dyDescent="0.3">
      <c r="S4382" s="6"/>
    </row>
    <row r="4383" spans="19:19" x14ac:dyDescent="0.3">
      <c r="S4383" s="6"/>
    </row>
    <row r="4384" spans="19:19" x14ac:dyDescent="0.3">
      <c r="S4384" s="6"/>
    </row>
    <row r="4385" spans="19:19" x14ac:dyDescent="0.3">
      <c r="S4385" s="6"/>
    </row>
    <row r="4386" spans="19:19" x14ac:dyDescent="0.3">
      <c r="S4386" s="6"/>
    </row>
    <row r="4387" spans="19:19" x14ac:dyDescent="0.3">
      <c r="S4387" s="6"/>
    </row>
    <row r="4388" spans="19:19" x14ac:dyDescent="0.3">
      <c r="S4388" s="6"/>
    </row>
    <row r="4389" spans="19:19" x14ac:dyDescent="0.3">
      <c r="S4389" s="6"/>
    </row>
    <row r="4390" spans="19:19" x14ac:dyDescent="0.3">
      <c r="S4390" s="6"/>
    </row>
    <row r="4391" spans="19:19" x14ac:dyDescent="0.3">
      <c r="S4391" s="6"/>
    </row>
    <row r="4392" spans="19:19" x14ac:dyDescent="0.3">
      <c r="S4392" s="6"/>
    </row>
    <row r="4393" spans="19:19" x14ac:dyDescent="0.3">
      <c r="S4393" s="6"/>
    </row>
    <row r="4394" spans="19:19" x14ac:dyDescent="0.3">
      <c r="S4394" s="6"/>
    </row>
    <row r="4395" spans="19:19" x14ac:dyDescent="0.3">
      <c r="S4395" s="6"/>
    </row>
    <row r="4396" spans="19:19" x14ac:dyDescent="0.3">
      <c r="S4396" s="6"/>
    </row>
    <row r="4397" spans="19:19" x14ac:dyDescent="0.3">
      <c r="S4397" s="6"/>
    </row>
    <row r="4398" spans="19:19" x14ac:dyDescent="0.3">
      <c r="S4398" s="6"/>
    </row>
    <row r="4399" spans="19:19" x14ac:dyDescent="0.3">
      <c r="S4399" s="6"/>
    </row>
    <row r="4400" spans="19:19" x14ac:dyDescent="0.3">
      <c r="S4400" s="6"/>
    </row>
    <row r="4401" spans="19:19" x14ac:dyDescent="0.3">
      <c r="S4401" s="6"/>
    </row>
    <row r="4402" spans="19:19" x14ac:dyDescent="0.3">
      <c r="S4402" s="6"/>
    </row>
    <row r="4403" spans="19:19" x14ac:dyDescent="0.3">
      <c r="S4403" s="6"/>
    </row>
    <row r="4404" spans="19:19" x14ac:dyDescent="0.3">
      <c r="S4404" s="6"/>
    </row>
    <row r="4405" spans="19:19" x14ac:dyDescent="0.3">
      <c r="S4405" s="6"/>
    </row>
    <row r="4406" spans="19:19" x14ac:dyDescent="0.3">
      <c r="S4406" s="6"/>
    </row>
    <row r="4407" spans="19:19" x14ac:dyDescent="0.3">
      <c r="S4407" s="6"/>
    </row>
    <row r="4408" spans="19:19" x14ac:dyDescent="0.3">
      <c r="S4408" s="6"/>
    </row>
    <row r="4409" spans="19:19" x14ac:dyDescent="0.3">
      <c r="S4409" s="6"/>
    </row>
    <row r="4410" spans="19:19" x14ac:dyDescent="0.3">
      <c r="S4410" s="6"/>
    </row>
    <row r="4411" spans="19:19" x14ac:dyDescent="0.3">
      <c r="S4411" s="6"/>
    </row>
    <row r="4412" spans="19:19" x14ac:dyDescent="0.3">
      <c r="S4412" s="6"/>
    </row>
    <row r="4413" spans="19:19" x14ac:dyDescent="0.3">
      <c r="S4413" s="6"/>
    </row>
    <row r="4414" spans="19:19" x14ac:dyDescent="0.3">
      <c r="S4414" s="6"/>
    </row>
    <row r="4415" spans="19:19" x14ac:dyDescent="0.3">
      <c r="S4415" s="6"/>
    </row>
    <row r="4416" spans="19:19" x14ac:dyDescent="0.3">
      <c r="S4416" s="6"/>
    </row>
    <row r="4417" spans="19:19" x14ac:dyDescent="0.3">
      <c r="S4417" s="6"/>
    </row>
    <row r="4418" spans="19:19" x14ac:dyDescent="0.3">
      <c r="S4418" s="6"/>
    </row>
    <row r="4419" spans="19:19" x14ac:dyDescent="0.3">
      <c r="S4419" s="6"/>
    </row>
    <row r="4420" spans="19:19" x14ac:dyDescent="0.3">
      <c r="S4420" s="6"/>
    </row>
    <row r="4421" spans="19:19" x14ac:dyDescent="0.3">
      <c r="S4421" s="6"/>
    </row>
    <row r="4422" spans="19:19" x14ac:dyDescent="0.3">
      <c r="S4422" s="6"/>
    </row>
    <row r="4423" spans="19:19" x14ac:dyDescent="0.3">
      <c r="S4423" s="6"/>
    </row>
    <row r="4424" spans="19:19" x14ac:dyDescent="0.3">
      <c r="S4424" s="6"/>
    </row>
    <row r="4425" spans="19:19" x14ac:dyDescent="0.3">
      <c r="S4425" s="6"/>
    </row>
    <row r="4426" spans="19:19" x14ac:dyDescent="0.3">
      <c r="S4426" s="6"/>
    </row>
    <row r="4427" spans="19:19" x14ac:dyDescent="0.3">
      <c r="S4427" s="6"/>
    </row>
    <row r="4428" spans="19:19" x14ac:dyDescent="0.3">
      <c r="S4428" s="6"/>
    </row>
    <row r="4429" spans="19:19" x14ac:dyDescent="0.3">
      <c r="S4429" s="6"/>
    </row>
    <row r="4430" spans="19:19" x14ac:dyDescent="0.3">
      <c r="S4430" s="6"/>
    </row>
    <row r="4431" spans="19:19" x14ac:dyDescent="0.3">
      <c r="S4431" s="6"/>
    </row>
    <row r="4432" spans="19:19" x14ac:dyDescent="0.3">
      <c r="S4432" s="6"/>
    </row>
    <row r="4433" spans="19:19" x14ac:dyDescent="0.3">
      <c r="S4433" s="6"/>
    </row>
    <row r="4434" spans="19:19" x14ac:dyDescent="0.3">
      <c r="S4434" s="6"/>
    </row>
    <row r="4435" spans="19:19" x14ac:dyDescent="0.3">
      <c r="S4435" s="6"/>
    </row>
    <row r="4436" spans="19:19" x14ac:dyDescent="0.3">
      <c r="S4436" s="6"/>
    </row>
    <row r="4437" spans="19:19" x14ac:dyDescent="0.3">
      <c r="S4437" s="6"/>
    </row>
    <row r="4438" spans="19:19" x14ac:dyDescent="0.3">
      <c r="S4438" s="6"/>
    </row>
    <row r="4439" spans="19:19" x14ac:dyDescent="0.3">
      <c r="S4439" s="6"/>
    </row>
    <row r="4440" spans="19:19" x14ac:dyDescent="0.3">
      <c r="S4440" s="6"/>
    </row>
    <row r="4441" spans="19:19" x14ac:dyDescent="0.3">
      <c r="S4441" s="6"/>
    </row>
    <row r="4442" spans="19:19" x14ac:dyDescent="0.3">
      <c r="S4442" s="6"/>
    </row>
    <row r="4443" spans="19:19" x14ac:dyDescent="0.3">
      <c r="S4443" s="6"/>
    </row>
    <row r="4444" spans="19:19" x14ac:dyDescent="0.3">
      <c r="S4444" s="6"/>
    </row>
    <row r="4445" spans="19:19" x14ac:dyDescent="0.3">
      <c r="S4445" s="6"/>
    </row>
    <row r="4446" spans="19:19" x14ac:dyDescent="0.3">
      <c r="S4446" s="6"/>
    </row>
    <row r="4447" spans="19:19" x14ac:dyDescent="0.3">
      <c r="S4447" s="6"/>
    </row>
    <row r="4448" spans="19:19" x14ac:dyDescent="0.3">
      <c r="S4448" s="6"/>
    </row>
    <row r="4449" spans="19:19" x14ac:dyDescent="0.3">
      <c r="S4449" s="6"/>
    </row>
    <row r="4450" spans="19:19" x14ac:dyDescent="0.3">
      <c r="S4450" s="6"/>
    </row>
    <row r="4451" spans="19:19" x14ac:dyDescent="0.3">
      <c r="S4451" s="6"/>
    </row>
    <row r="4452" spans="19:19" x14ac:dyDescent="0.3">
      <c r="S4452" s="6"/>
    </row>
    <row r="4453" spans="19:19" x14ac:dyDescent="0.3">
      <c r="S4453" s="6"/>
    </row>
    <row r="4454" spans="19:19" x14ac:dyDescent="0.3">
      <c r="S4454" s="6"/>
    </row>
    <row r="4455" spans="19:19" x14ac:dyDescent="0.3">
      <c r="S4455" s="6"/>
    </row>
    <row r="4456" spans="19:19" x14ac:dyDescent="0.3">
      <c r="S4456" s="6"/>
    </row>
    <row r="4457" spans="19:19" x14ac:dyDescent="0.3">
      <c r="S4457" s="6"/>
    </row>
    <row r="4458" spans="19:19" x14ac:dyDescent="0.3">
      <c r="S4458" s="6"/>
    </row>
    <row r="4459" spans="19:19" x14ac:dyDescent="0.3">
      <c r="S4459" s="6"/>
    </row>
    <row r="4460" spans="19:19" x14ac:dyDescent="0.3">
      <c r="S4460" s="6"/>
    </row>
    <row r="4461" spans="19:19" x14ac:dyDescent="0.3">
      <c r="S4461" s="6"/>
    </row>
    <row r="4462" spans="19:19" x14ac:dyDescent="0.3">
      <c r="S4462" s="6"/>
    </row>
    <row r="4463" spans="19:19" x14ac:dyDescent="0.3">
      <c r="S4463" s="6"/>
    </row>
    <row r="4464" spans="19:19" x14ac:dyDescent="0.3">
      <c r="S4464" s="6"/>
    </row>
    <row r="4465" spans="19:19" x14ac:dyDescent="0.3">
      <c r="S4465" s="6"/>
    </row>
    <row r="4466" spans="19:19" x14ac:dyDescent="0.3">
      <c r="S4466" s="6"/>
    </row>
    <row r="4467" spans="19:19" x14ac:dyDescent="0.3">
      <c r="S4467" s="6"/>
    </row>
    <row r="4468" spans="19:19" x14ac:dyDescent="0.3">
      <c r="S4468" s="6"/>
    </row>
    <row r="4469" spans="19:19" x14ac:dyDescent="0.3">
      <c r="S4469" s="6"/>
    </row>
    <row r="4470" spans="19:19" x14ac:dyDescent="0.3">
      <c r="S4470" s="6"/>
    </row>
    <row r="4471" spans="19:19" x14ac:dyDescent="0.3">
      <c r="S4471" s="6"/>
    </row>
    <row r="4472" spans="19:19" x14ac:dyDescent="0.3">
      <c r="S4472" s="6"/>
    </row>
    <row r="4473" spans="19:19" x14ac:dyDescent="0.3">
      <c r="S4473" s="6"/>
    </row>
    <row r="4474" spans="19:19" x14ac:dyDescent="0.3">
      <c r="S4474" s="6"/>
    </row>
    <row r="4475" spans="19:19" x14ac:dyDescent="0.3">
      <c r="S4475" s="6"/>
    </row>
    <row r="4476" spans="19:19" x14ac:dyDescent="0.3">
      <c r="S4476" s="6"/>
    </row>
    <row r="4477" spans="19:19" x14ac:dyDescent="0.3">
      <c r="S4477" s="6"/>
    </row>
    <row r="4478" spans="19:19" x14ac:dyDescent="0.3">
      <c r="S4478" s="6"/>
    </row>
    <row r="4479" spans="19:19" x14ac:dyDescent="0.3">
      <c r="S4479" s="6"/>
    </row>
    <row r="4480" spans="19:19" x14ac:dyDescent="0.3">
      <c r="S4480" s="6"/>
    </row>
    <row r="4481" spans="19:19" x14ac:dyDescent="0.3">
      <c r="S4481" s="6"/>
    </row>
    <row r="4482" spans="19:19" x14ac:dyDescent="0.3">
      <c r="S4482" s="6"/>
    </row>
    <row r="4483" spans="19:19" x14ac:dyDescent="0.3">
      <c r="S4483" s="6"/>
    </row>
    <row r="4484" spans="19:19" x14ac:dyDescent="0.3">
      <c r="S4484" s="6"/>
    </row>
    <row r="4485" spans="19:19" x14ac:dyDescent="0.3">
      <c r="S4485" s="6"/>
    </row>
    <row r="4486" spans="19:19" x14ac:dyDescent="0.3">
      <c r="S4486" s="6"/>
    </row>
    <row r="4487" spans="19:19" x14ac:dyDescent="0.3">
      <c r="S4487" s="6"/>
    </row>
    <row r="4488" spans="19:19" x14ac:dyDescent="0.3">
      <c r="S4488" s="6"/>
    </row>
    <row r="4489" spans="19:19" x14ac:dyDescent="0.3">
      <c r="S4489" s="6"/>
    </row>
    <row r="4490" spans="19:19" x14ac:dyDescent="0.3">
      <c r="S4490" s="6"/>
    </row>
    <row r="4491" spans="19:19" x14ac:dyDescent="0.3">
      <c r="S4491" s="6"/>
    </row>
    <row r="4492" spans="19:19" x14ac:dyDescent="0.3">
      <c r="S4492" s="6"/>
    </row>
    <row r="4493" spans="19:19" x14ac:dyDescent="0.3">
      <c r="S4493" s="6"/>
    </row>
    <row r="4494" spans="19:19" x14ac:dyDescent="0.3">
      <c r="S4494" s="6"/>
    </row>
    <row r="4495" spans="19:19" x14ac:dyDescent="0.3">
      <c r="S4495" s="6"/>
    </row>
    <row r="4496" spans="19:19" x14ac:dyDescent="0.3">
      <c r="S4496" s="6"/>
    </row>
    <row r="4497" spans="19:19" x14ac:dyDescent="0.3">
      <c r="S4497" s="6"/>
    </row>
    <row r="4498" spans="19:19" x14ac:dyDescent="0.3">
      <c r="S4498" s="6"/>
    </row>
    <row r="4499" spans="19:19" x14ac:dyDescent="0.3">
      <c r="S4499" s="6"/>
    </row>
    <row r="4500" spans="19:19" x14ac:dyDescent="0.3">
      <c r="S4500" s="6"/>
    </row>
    <row r="4501" spans="19:19" x14ac:dyDescent="0.3">
      <c r="S4501" s="6"/>
    </row>
    <row r="4502" spans="19:19" x14ac:dyDescent="0.3">
      <c r="S4502" s="6"/>
    </row>
    <row r="4503" spans="19:19" x14ac:dyDescent="0.3">
      <c r="S4503" s="6"/>
    </row>
    <row r="4504" spans="19:19" x14ac:dyDescent="0.3">
      <c r="S4504" s="6"/>
    </row>
    <row r="4505" spans="19:19" x14ac:dyDescent="0.3">
      <c r="S4505" s="6"/>
    </row>
    <row r="4506" spans="19:19" x14ac:dyDescent="0.3">
      <c r="S4506" s="6"/>
    </row>
    <row r="4507" spans="19:19" x14ac:dyDescent="0.3">
      <c r="S4507" s="6"/>
    </row>
    <row r="4508" spans="19:19" x14ac:dyDescent="0.3">
      <c r="S4508" s="6"/>
    </row>
    <row r="4509" spans="19:19" x14ac:dyDescent="0.3">
      <c r="S4509" s="6"/>
    </row>
    <row r="4510" spans="19:19" x14ac:dyDescent="0.3">
      <c r="S4510" s="6"/>
    </row>
    <row r="4511" spans="19:19" x14ac:dyDescent="0.3">
      <c r="S4511" s="6"/>
    </row>
    <row r="4512" spans="19:19" x14ac:dyDescent="0.3">
      <c r="S4512" s="6"/>
    </row>
    <row r="4513" spans="19:19" x14ac:dyDescent="0.3">
      <c r="S4513" s="6"/>
    </row>
    <row r="4514" spans="19:19" x14ac:dyDescent="0.3">
      <c r="S4514" s="6"/>
    </row>
    <row r="4515" spans="19:19" x14ac:dyDescent="0.3">
      <c r="S4515" s="6"/>
    </row>
    <row r="4516" spans="19:19" x14ac:dyDescent="0.3">
      <c r="S4516" s="6"/>
    </row>
    <row r="4517" spans="19:19" x14ac:dyDescent="0.3">
      <c r="S4517" s="6"/>
    </row>
    <row r="4518" spans="19:19" x14ac:dyDescent="0.3">
      <c r="S4518" s="6"/>
    </row>
    <row r="4519" spans="19:19" x14ac:dyDescent="0.3">
      <c r="S4519" s="6"/>
    </row>
    <row r="4520" spans="19:19" x14ac:dyDescent="0.3">
      <c r="S4520" s="6"/>
    </row>
    <row r="4521" spans="19:19" x14ac:dyDescent="0.3">
      <c r="S4521" s="6"/>
    </row>
    <row r="4522" spans="19:19" x14ac:dyDescent="0.3">
      <c r="S4522" s="6"/>
    </row>
    <row r="4523" spans="19:19" x14ac:dyDescent="0.3">
      <c r="S4523" s="6"/>
    </row>
    <row r="4524" spans="19:19" x14ac:dyDescent="0.3">
      <c r="S4524" s="6"/>
    </row>
    <row r="4525" spans="19:19" x14ac:dyDescent="0.3">
      <c r="S4525" s="6"/>
    </row>
    <row r="4526" spans="19:19" x14ac:dyDescent="0.3">
      <c r="S4526" s="6"/>
    </row>
    <row r="4527" spans="19:19" x14ac:dyDescent="0.3">
      <c r="S4527" s="6"/>
    </row>
    <row r="4528" spans="19:19" x14ac:dyDescent="0.3">
      <c r="S4528" s="6"/>
    </row>
    <row r="4529" spans="19:19" x14ac:dyDescent="0.3">
      <c r="S4529" s="6"/>
    </row>
    <row r="4530" spans="19:19" x14ac:dyDescent="0.3">
      <c r="S4530" s="6"/>
    </row>
    <row r="4531" spans="19:19" x14ac:dyDescent="0.3">
      <c r="S4531" s="6"/>
    </row>
    <row r="4532" spans="19:19" x14ac:dyDescent="0.3">
      <c r="S4532" s="6"/>
    </row>
    <row r="4533" spans="19:19" x14ac:dyDescent="0.3">
      <c r="S4533" s="6"/>
    </row>
    <row r="4534" spans="19:19" x14ac:dyDescent="0.3">
      <c r="S4534" s="6"/>
    </row>
    <row r="4535" spans="19:19" x14ac:dyDescent="0.3">
      <c r="S4535" s="6"/>
    </row>
    <row r="4536" spans="19:19" x14ac:dyDescent="0.3">
      <c r="S4536" s="6"/>
    </row>
    <row r="4537" spans="19:19" x14ac:dyDescent="0.3">
      <c r="S4537" s="6"/>
    </row>
    <row r="4538" spans="19:19" x14ac:dyDescent="0.3">
      <c r="S4538" s="6"/>
    </row>
    <row r="4539" spans="19:19" x14ac:dyDescent="0.3">
      <c r="S4539" s="6"/>
    </row>
    <row r="4540" spans="19:19" x14ac:dyDescent="0.3">
      <c r="S4540" s="6"/>
    </row>
    <row r="4541" spans="19:19" x14ac:dyDescent="0.3">
      <c r="S4541" s="6"/>
    </row>
    <row r="4542" spans="19:19" x14ac:dyDescent="0.3">
      <c r="S4542" s="6"/>
    </row>
    <row r="4543" spans="19:19" x14ac:dyDescent="0.3">
      <c r="S4543" s="6"/>
    </row>
    <row r="4544" spans="19:19" x14ac:dyDescent="0.3">
      <c r="S4544" s="6"/>
    </row>
    <row r="4545" spans="19:19" x14ac:dyDescent="0.3">
      <c r="S4545" s="6"/>
    </row>
    <row r="4546" spans="19:19" x14ac:dyDescent="0.3">
      <c r="S4546" s="6"/>
    </row>
    <row r="4547" spans="19:19" x14ac:dyDescent="0.3">
      <c r="S4547" s="6"/>
    </row>
    <row r="4548" spans="19:19" x14ac:dyDescent="0.3">
      <c r="S4548" s="6"/>
    </row>
    <row r="4549" spans="19:19" x14ac:dyDescent="0.3">
      <c r="S4549" s="6"/>
    </row>
    <row r="4550" spans="19:19" x14ac:dyDescent="0.3">
      <c r="S4550" s="6"/>
    </row>
    <row r="4551" spans="19:19" x14ac:dyDescent="0.3">
      <c r="S4551" s="6"/>
    </row>
    <row r="4552" spans="19:19" x14ac:dyDescent="0.3">
      <c r="S4552" s="6"/>
    </row>
    <row r="4553" spans="19:19" x14ac:dyDescent="0.3">
      <c r="S4553" s="6"/>
    </row>
    <row r="4554" spans="19:19" x14ac:dyDescent="0.3">
      <c r="S4554" s="6"/>
    </row>
    <row r="4555" spans="19:19" x14ac:dyDescent="0.3">
      <c r="S4555" s="6"/>
    </row>
    <row r="4556" spans="19:19" x14ac:dyDescent="0.3">
      <c r="S4556" s="6"/>
    </row>
    <row r="4557" spans="19:19" x14ac:dyDescent="0.3">
      <c r="S4557" s="6"/>
    </row>
    <row r="4558" spans="19:19" x14ac:dyDescent="0.3">
      <c r="S4558" s="6"/>
    </row>
    <row r="4559" spans="19:19" x14ac:dyDescent="0.3">
      <c r="S4559" s="6"/>
    </row>
    <row r="4560" spans="19:19" x14ac:dyDescent="0.3">
      <c r="S4560" s="6"/>
    </row>
    <row r="4561" spans="19:19" x14ac:dyDescent="0.3">
      <c r="S4561" s="6"/>
    </row>
    <row r="4562" spans="19:19" x14ac:dyDescent="0.3">
      <c r="S4562" s="6"/>
    </row>
    <row r="4563" spans="19:19" x14ac:dyDescent="0.3">
      <c r="S4563" s="6"/>
    </row>
    <row r="4564" spans="19:19" x14ac:dyDescent="0.3">
      <c r="S4564" s="6"/>
    </row>
    <row r="4565" spans="19:19" x14ac:dyDescent="0.3">
      <c r="S4565" s="6"/>
    </row>
    <row r="4566" spans="19:19" x14ac:dyDescent="0.3">
      <c r="S4566" s="6"/>
    </row>
    <row r="4567" spans="19:19" x14ac:dyDescent="0.3">
      <c r="S4567" s="6"/>
    </row>
    <row r="4568" spans="19:19" x14ac:dyDescent="0.3">
      <c r="S4568" s="6"/>
    </row>
    <row r="4569" spans="19:19" x14ac:dyDescent="0.3">
      <c r="S4569" s="6"/>
    </row>
    <row r="4570" spans="19:19" x14ac:dyDescent="0.3">
      <c r="S4570" s="6"/>
    </row>
    <row r="4571" spans="19:19" x14ac:dyDescent="0.3">
      <c r="S4571" s="6"/>
    </row>
    <row r="4572" spans="19:19" x14ac:dyDescent="0.3">
      <c r="S4572" s="6"/>
    </row>
    <row r="4573" spans="19:19" x14ac:dyDescent="0.3">
      <c r="S4573" s="6"/>
    </row>
    <row r="4574" spans="19:19" x14ac:dyDescent="0.3">
      <c r="S4574" s="6"/>
    </row>
    <row r="4575" spans="19:19" x14ac:dyDescent="0.3">
      <c r="S4575" s="6"/>
    </row>
    <row r="4576" spans="19:19" x14ac:dyDescent="0.3">
      <c r="S4576" s="6"/>
    </row>
    <row r="4577" spans="19:19" x14ac:dyDescent="0.3">
      <c r="S4577" s="6"/>
    </row>
    <row r="4578" spans="19:19" x14ac:dyDescent="0.3">
      <c r="S4578" s="6"/>
    </row>
    <row r="4579" spans="19:19" x14ac:dyDescent="0.3">
      <c r="S4579" s="6"/>
    </row>
    <row r="4580" spans="19:19" x14ac:dyDescent="0.3">
      <c r="S4580" s="6"/>
    </row>
    <row r="4581" spans="19:19" x14ac:dyDescent="0.3">
      <c r="S4581" s="6"/>
    </row>
    <row r="4582" spans="19:19" x14ac:dyDescent="0.3">
      <c r="S4582" s="6"/>
    </row>
    <row r="4583" spans="19:19" x14ac:dyDescent="0.3">
      <c r="S4583" s="6"/>
    </row>
    <row r="4584" spans="19:19" x14ac:dyDescent="0.3">
      <c r="S4584" s="6"/>
    </row>
    <row r="4585" spans="19:19" x14ac:dyDescent="0.3">
      <c r="S4585" s="6"/>
    </row>
    <row r="4586" spans="19:19" x14ac:dyDescent="0.3">
      <c r="S4586" s="6"/>
    </row>
    <row r="4587" spans="19:19" x14ac:dyDescent="0.3">
      <c r="S4587" s="6"/>
    </row>
    <row r="4588" spans="19:19" x14ac:dyDescent="0.3">
      <c r="S4588" s="6"/>
    </row>
    <row r="4589" spans="19:19" x14ac:dyDescent="0.3">
      <c r="S4589" s="6"/>
    </row>
    <row r="4590" spans="19:19" x14ac:dyDescent="0.3">
      <c r="S4590" s="6"/>
    </row>
    <row r="4591" spans="19:19" x14ac:dyDescent="0.3">
      <c r="S4591" s="6"/>
    </row>
    <row r="4592" spans="19:19" x14ac:dyDescent="0.3">
      <c r="S4592" s="6"/>
    </row>
    <row r="4593" spans="19:19" x14ac:dyDescent="0.3">
      <c r="S4593" s="6"/>
    </row>
    <row r="4594" spans="19:19" x14ac:dyDescent="0.3">
      <c r="S4594" s="6"/>
    </row>
    <row r="4595" spans="19:19" x14ac:dyDescent="0.3">
      <c r="S4595" s="6"/>
    </row>
    <row r="4596" spans="19:19" x14ac:dyDescent="0.3">
      <c r="S4596" s="6"/>
    </row>
    <row r="4597" spans="19:19" x14ac:dyDescent="0.3">
      <c r="S4597" s="6"/>
    </row>
    <row r="4598" spans="19:19" x14ac:dyDescent="0.3">
      <c r="S4598" s="6"/>
    </row>
    <row r="4599" spans="19:19" x14ac:dyDescent="0.3">
      <c r="S4599" s="6"/>
    </row>
    <row r="4600" spans="19:19" x14ac:dyDescent="0.3">
      <c r="S4600" s="6"/>
    </row>
    <row r="4601" spans="19:19" x14ac:dyDescent="0.3">
      <c r="S4601" s="6"/>
    </row>
    <row r="4602" spans="19:19" x14ac:dyDescent="0.3">
      <c r="S4602" s="6"/>
    </row>
    <row r="4603" spans="19:19" x14ac:dyDescent="0.3">
      <c r="S4603" s="6"/>
    </row>
    <row r="4604" spans="19:19" x14ac:dyDescent="0.3">
      <c r="S4604" s="6"/>
    </row>
    <row r="4605" spans="19:19" x14ac:dyDescent="0.3">
      <c r="S4605" s="6"/>
    </row>
    <row r="4606" spans="19:19" x14ac:dyDescent="0.3">
      <c r="S4606" s="6"/>
    </row>
    <row r="4607" spans="19:19" x14ac:dyDescent="0.3">
      <c r="S4607" s="6"/>
    </row>
    <row r="4608" spans="19:19" x14ac:dyDescent="0.3">
      <c r="S4608" s="6"/>
    </row>
    <row r="4609" spans="19:19" x14ac:dyDescent="0.3">
      <c r="S4609" s="6"/>
    </row>
    <row r="4610" spans="19:19" x14ac:dyDescent="0.3">
      <c r="S4610" s="6"/>
    </row>
    <row r="4611" spans="19:19" x14ac:dyDescent="0.3">
      <c r="S4611" s="6"/>
    </row>
    <row r="4612" spans="19:19" x14ac:dyDescent="0.3">
      <c r="S4612" s="6"/>
    </row>
    <row r="4613" spans="19:19" x14ac:dyDescent="0.3">
      <c r="S4613" s="6"/>
    </row>
    <row r="4614" spans="19:19" x14ac:dyDescent="0.3">
      <c r="S4614" s="6"/>
    </row>
    <row r="4615" spans="19:19" x14ac:dyDescent="0.3">
      <c r="S4615" s="6"/>
    </row>
    <row r="4616" spans="19:19" x14ac:dyDescent="0.3">
      <c r="S4616" s="6"/>
    </row>
    <row r="4617" spans="19:19" x14ac:dyDescent="0.3">
      <c r="S4617" s="6"/>
    </row>
    <row r="4618" spans="19:19" x14ac:dyDescent="0.3">
      <c r="S4618" s="6"/>
    </row>
    <row r="4619" spans="19:19" x14ac:dyDescent="0.3">
      <c r="S4619" s="6"/>
    </row>
    <row r="4620" spans="19:19" x14ac:dyDescent="0.3">
      <c r="S4620" s="6"/>
    </row>
    <row r="4621" spans="19:19" x14ac:dyDescent="0.3">
      <c r="S4621" s="6"/>
    </row>
    <row r="4622" spans="19:19" x14ac:dyDescent="0.3">
      <c r="S4622" s="6"/>
    </row>
    <row r="4623" spans="19:19" x14ac:dyDescent="0.3">
      <c r="S4623" s="6"/>
    </row>
    <row r="4624" spans="19:19" x14ac:dyDescent="0.3">
      <c r="S4624" s="6"/>
    </row>
    <row r="4625" spans="19:19" x14ac:dyDescent="0.3">
      <c r="S4625" s="6"/>
    </row>
    <row r="4626" spans="19:19" x14ac:dyDescent="0.3">
      <c r="S4626" s="6"/>
    </row>
    <row r="4627" spans="19:19" x14ac:dyDescent="0.3">
      <c r="S4627" s="6"/>
    </row>
    <row r="4628" spans="19:19" x14ac:dyDescent="0.3">
      <c r="S4628" s="6"/>
    </row>
    <row r="4629" spans="19:19" x14ac:dyDescent="0.3">
      <c r="S4629" s="6"/>
    </row>
    <row r="4630" spans="19:19" x14ac:dyDescent="0.3">
      <c r="S4630" s="6"/>
    </row>
    <row r="4631" spans="19:19" x14ac:dyDescent="0.3">
      <c r="S4631" s="6"/>
    </row>
    <row r="4632" spans="19:19" x14ac:dyDescent="0.3">
      <c r="S4632" s="6"/>
    </row>
    <row r="4633" spans="19:19" x14ac:dyDescent="0.3">
      <c r="S4633" s="6"/>
    </row>
    <row r="4634" spans="19:19" x14ac:dyDescent="0.3">
      <c r="S4634" s="6"/>
    </row>
    <row r="4635" spans="19:19" x14ac:dyDescent="0.3">
      <c r="S4635" s="6"/>
    </row>
    <row r="4636" spans="19:19" x14ac:dyDescent="0.3">
      <c r="S4636" s="6"/>
    </row>
    <row r="4637" spans="19:19" x14ac:dyDescent="0.3">
      <c r="S4637" s="6"/>
    </row>
    <row r="4638" spans="19:19" x14ac:dyDescent="0.3">
      <c r="S4638" s="6"/>
    </row>
    <row r="4639" spans="19:19" x14ac:dyDescent="0.3">
      <c r="S4639" s="6"/>
    </row>
    <row r="4640" spans="19:19" x14ac:dyDescent="0.3">
      <c r="S4640" s="6"/>
    </row>
    <row r="4641" spans="19:19" x14ac:dyDescent="0.3">
      <c r="S4641" s="6"/>
    </row>
    <row r="4642" spans="19:19" x14ac:dyDescent="0.3">
      <c r="S4642" s="6"/>
    </row>
    <row r="4643" spans="19:19" x14ac:dyDescent="0.3">
      <c r="S4643" s="6"/>
    </row>
    <row r="4644" spans="19:19" x14ac:dyDescent="0.3">
      <c r="S4644" s="6"/>
    </row>
    <row r="4645" spans="19:19" x14ac:dyDescent="0.3">
      <c r="S4645" s="6"/>
    </row>
    <row r="4646" spans="19:19" x14ac:dyDescent="0.3">
      <c r="S4646" s="6"/>
    </row>
    <row r="4647" spans="19:19" x14ac:dyDescent="0.3">
      <c r="S4647" s="6"/>
    </row>
    <row r="4648" spans="19:19" x14ac:dyDescent="0.3">
      <c r="S4648" s="6"/>
    </row>
    <row r="4649" spans="19:19" x14ac:dyDescent="0.3">
      <c r="S4649" s="6"/>
    </row>
    <row r="4650" spans="19:19" x14ac:dyDescent="0.3">
      <c r="S4650" s="6"/>
    </row>
    <row r="4651" spans="19:19" x14ac:dyDescent="0.3">
      <c r="S4651" s="6"/>
    </row>
    <row r="4652" spans="19:19" x14ac:dyDescent="0.3">
      <c r="S4652" s="6"/>
    </row>
    <row r="4653" spans="19:19" x14ac:dyDescent="0.3">
      <c r="S4653" s="6"/>
    </row>
    <row r="4654" spans="19:19" x14ac:dyDescent="0.3">
      <c r="S4654" s="6"/>
    </row>
    <row r="4655" spans="19:19" x14ac:dyDescent="0.3">
      <c r="S4655" s="6"/>
    </row>
    <row r="4656" spans="19:19" x14ac:dyDescent="0.3">
      <c r="S4656" s="6"/>
    </row>
    <row r="4657" spans="19:19" x14ac:dyDescent="0.3">
      <c r="S4657" s="6"/>
    </row>
    <row r="4658" spans="19:19" x14ac:dyDescent="0.3">
      <c r="S4658" s="6"/>
    </row>
    <row r="4659" spans="19:19" x14ac:dyDescent="0.3">
      <c r="S4659" s="6"/>
    </row>
    <row r="4660" spans="19:19" x14ac:dyDescent="0.3">
      <c r="S4660" s="6"/>
    </row>
    <row r="4661" spans="19:19" x14ac:dyDescent="0.3">
      <c r="S4661" s="6"/>
    </row>
    <row r="4662" spans="19:19" x14ac:dyDescent="0.3">
      <c r="S4662" s="6"/>
    </row>
    <row r="4663" spans="19:19" x14ac:dyDescent="0.3">
      <c r="S4663" s="6"/>
    </row>
    <row r="4664" spans="19:19" x14ac:dyDescent="0.3">
      <c r="S4664" s="6"/>
    </row>
    <row r="4665" spans="19:19" x14ac:dyDescent="0.3">
      <c r="S4665" s="6"/>
    </row>
    <row r="4666" spans="19:19" x14ac:dyDescent="0.3">
      <c r="S4666" s="6"/>
    </row>
    <row r="4667" spans="19:19" x14ac:dyDescent="0.3">
      <c r="S4667" s="6"/>
    </row>
    <row r="4668" spans="19:19" x14ac:dyDescent="0.3">
      <c r="S4668" s="6"/>
    </row>
    <row r="4669" spans="19:19" x14ac:dyDescent="0.3">
      <c r="S4669" s="6"/>
    </row>
    <row r="4670" spans="19:19" x14ac:dyDescent="0.3">
      <c r="S4670" s="6"/>
    </row>
    <row r="4671" spans="19:19" x14ac:dyDescent="0.3">
      <c r="S4671" s="6"/>
    </row>
    <row r="4672" spans="19:19" x14ac:dyDescent="0.3">
      <c r="S4672" s="6"/>
    </row>
    <row r="4673" spans="19:19" x14ac:dyDescent="0.3">
      <c r="S4673" s="6"/>
    </row>
    <row r="4674" spans="19:19" x14ac:dyDescent="0.3">
      <c r="S4674" s="6"/>
    </row>
    <row r="4675" spans="19:19" x14ac:dyDescent="0.3">
      <c r="S4675" s="6"/>
    </row>
    <row r="4676" spans="19:19" x14ac:dyDescent="0.3">
      <c r="S4676" s="6"/>
    </row>
    <row r="4677" spans="19:19" x14ac:dyDescent="0.3">
      <c r="S4677" s="6"/>
    </row>
    <row r="4678" spans="19:19" x14ac:dyDescent="0.3">
      <c r="S4678" s="6"/>
    </row>
    <row r="4679" spans="19:19" x14ac:dyDescent="0.3">
      <c r="S4679" s="6"/>
    </row>
    <row r="4680" spans="19:19" x14ac:dyDescent="0.3">
      <c r="S4680" s="6"/>
    </row>
    <row r="4681" spans="19:19" x14ac:dyDescent="0.3">
      <c r="S4681" s="6"/>
    </row>
    <row r="4682" spans="19:19" x14ac:dyDescent="0.3">
      <c r="S4682" s="6"/>
    </row>
    <row r="4683" spans="19:19" x14ac:dyDescent="0.3">
      <c r="S4683" s="6"/>
    </row>
    <row r="4684" spans="19:19" x14ac:dyDescent="0.3">
      <c r="S4684" s="6"/>
    </row>
    <row r="4685" spans="19:19" x14ac:dyDescent="0.3">
      <c r="S4685" s="6"/>
    </row>
    <row r="4686" spans="19:19" x14ac:dyDescent="0.3">
      <c r="S4686" s="6"/>
    </row>
    <row r="4687" spans="19:19" x14ac:dyDescent="0.3">
      <c r="S4687" s="6"/>
    </row>
    <row r="4688" spans="19:19" x14ac:dyDescent="0.3">
      <c r="S4688" s="6"/>
    </row>
    <row r="4689" spans="19:19" x14ac:dyDescent="0.3">
      <c r="S4689" s="6"/>
    </row>
    <row r="4690" spans="19:19" x14ac:dyDescent="0.3">
      <c r="S4690" s="6"/>
    </row>
    <row r="4691" spans="19:19" x14ac:dyDescent="0.3">
      <c r="S4691" s="6"/>
    </row>
    <row r="4692" spans="19:19" x14ac:dyDescent="0.3">
      <c r="S4692" s="6"/>
    </row>
    <row r="4693" spans="19:19" x14ac:dyDescent="0.3">
      <c r="S4693" s="6"/>
    </row>
    <row r="4694" spans="19:19" x14ac:dyDescent="0.3">
      <c r="S4694" s="6"/>
    </row>
    <row r="4695" spans="19:19" x14ac:dyDescent="0.3">
      <c r="S4695" s="6"/>
    </row>
    <row r="4696" spans="19:19" x14ac:dyDescent="0.3">
      <c r="S4696" s="6"/>
    </row>
    <row r="4697" spans="19:19" x14ac:dyDescent="0.3">
      <c r="S4697" s="6"/>
    </row>
    <row r="4698" spans="19:19" x14ac:dyDescent="0.3">
      <c r="S4698" s="6"/>
    </row>
    <row r="4699" spans="19:19" x14ac:dyDescent="0.3">
      <c r="S4699" s="6"/>
    </row>
    <row r="4700" spans="19:19" x14ac:dyDescent="0.3">
      <c r="S4700" s="6"/>
    </row>
    <row r="4701" spans="19:19" x14ac:dyDescent="0.3">
      <c r="S4701" s="6"/>
    </row>
    <row r="4702" spans="19:19" x14ac:dyDescent="0.3">
      <c r="S4702" s="6"/>
    </row>
    <row r="4703" spans="19:19" x14ac:dyDescent="0.3">
      <c r="S4703" s="6"/>
    </row>
    <row r="4704" spans="19:19" x14ac:dyDescent="0.3">
      <c r="S4704" s="6"/>
    </row>
    <row r="4705" spans="19:19" x14ac:dyDescent="0.3">
      <c r="S4705" s="6"/>
    </row>
    <row r="4706" spans="19:19" x14ac:dyDescent="0.3">
      <c r="S4706" s="6"/>
    </row>
    <row r="4707" spans="19:19" x14ac:dyDescent="0.3">
      <c r="S4707" s="6"/>
    </row>
    <row r="4708" spans="19:19" x14ac:dyDescent="0.3">
      <c r="S4708" s="6"/>
    </row>
    <row r="4709" spans="19:19" x14ac:dyDescent="0.3">
      <c r="S4709" s="6"/>
    </row>
    <row r="4710" spans="19:19" x14ac:dyDescent="0.3">
      <c r="S4710" s="6"/>
    </row>
    <row r="4711" spans="19:19" x14ac:dyDescent="0.3">
      <c r="S4711" s="6"/>
    </row>
    <row r="4712" spans="19:19" x14ac:dyDescent="0.3">
      <c r="S4712" s="6"/>
    </row>
    <row r="4713" spans="19:19" x14ac:dyDescent="0.3">
      <c r="S4713" s="6"/>
    </row>
    <row r="4714" spans="19:19" x14ac:dyDescent="0.3">
      <c r="S4714" s="6"/>
    </row>
    <row r="4715" spans="19:19" x14ac:dyDescent="0.3">
      <c r="S4715" s="6"/>
    </row>
    <row r="4716" spans="19:19" x14ac:dyDescent="0.3">
      <c r="S4716" s="6"/>
    </row>
    <row r="4717" spans="19:19" x14ac:dyDescent="0.3">
      <c r="S4717" s="6"/>
    </row>
    <row r="4718" spans="19:19" x14ac:dyDescent="0.3">
      <c r="S4718" s="6"/>
    </row>
    <row r="4719" spans="19:19" x14ac:dyDescent="0.3">
      <c r="S4719" s="6"/>
    </row>
    <row r="4720" spans="19:19" x14ac:dyDescent="0.3">
      <c r="S4720" s="6"/>
    </row>
    <row r="4721" spans="19:19" x14ac:dyDescent="0.3">
      <c r="S4721" s="6"/>
    </row>
    <row r="4722" spans="19:19" x14ac:dyDescent="0.3">
      <c r="S4722" s="6"/>
    </row>
    <row r="4723" spans="19:19" x14ac:dyDescent="0.3">
      <c r="S4723" s="6"/>
    </row>
    <row r="4724" spans="19:19" x14ac:dyDescent="0.3">
      <c r="S4724" s="6"/>
    </row>
    <row r="4725" spans="19:19" x14ac:dyDescent="0.3">
      <c r="S4725" s="6"/>
    </row>
    <row r="4726" spans="19:19" x14ac:dyDescent="0.3">
      <c r="S4726" s="6"/>
    </row>
    <row r="4727" spans="19:19" x14ac:dyDescent="0.3">
      <c r="S4727" s="6"/>
    </row>
    <row r="4728" spans="19:19" x14ac:dyDescent="0.3">
      <c r="S4728" s="6"/>
    </row>
    <row r="4729" spans="19:19" x14ac:dyDescent="0.3">
      <c r="S4729" s="6"/>
    </row>
    <row r="4730" spans="19:19" x14ac:dyDescent="0.3">
      <c r="S4730" s="6"/>
    </row>
    <row r="4731" spans="19:19" x14ac:dyDescent="0.3">
      <c r="S4731" s="6"/>
    </row>
    <row r="4732" spans="19:19" x14ac:dyDescent="0.3">
      <c r="S4732" s="6"/>
    </row>
    <row r="4733" spans="19:19" x14ac:dyDescent="0.3">
      <c r="S4733" s="6"/>
    </row>
    <row r="4734" spans="19:19" x14ac:dyDescent="0.3">
      <c r="S4734" s="6"/>
    </row>
    <row r="4735" spans="19:19" x14ac:dyDescent="0.3">
      <c r="S4735" s="6"/>
    </row>
    <row r="4736" spans="19:19" x14ac:dyDescent="0.3">
      <c r="S4736" s="6"/>
    </row>
    <row r="4737" spans="19:19" x14ac:dyDescent="0.3">
      <c r="S4737" s="6"/>
    </row>
    <row r="4738" spans="19:19" x14ac:dyDescent="0.3">
      <c r="S4738" s="6"/>
    </row>
    <row r="4739" spans="19:19" x14ac:dyDescent="0.3">
      <c r="S4739" s="6"/>
    </row>
    <row r="4740" spans="19:19" x14ac:dyDescent="0.3">
      <c r="S4740" s="6"/>
    </row>
    <row r="4741" spans="19:19" x14ac:dyDescent="0.3">
      <c r="S4741" s="6"/>
    </row>
    <row r="4742" spans="19:19" x14ac:dyDescent="0.3">
      <c r="S4742" s="6"/>
    </row>
    <row r="4743" spans="19:19" x14ac:dyDescent="0.3">
      <c r="S4743" s="6"/>
    </row>
    <row r="4744" spans="19:19" x14ac:dyDescent="0.3">
      <c r="S4744" s="6"/>
    </row>
    <row r="4745" spans="19:19" x14ac:dyDescent="0.3">
      <c r="S4745" s="6"/>
    </row>
    <row r="4746" spans="19:19" x14ac:dyDescent="0.3">
      <c r="S4746" s="6"/>
    </row>
    <row r="4747" spans="19:19" x14ac:dyDescent="0.3">
      <c r="S4747" s="6"/>
    </row>
    <row r="4748" spans="19:19" x14ac:dyDescent="0.3">
      <c r="S4748" s="6"/>
    </row>
    <row r="4749" spans="19:19" x14ac:dyDescent="0.3">
      <c r="S4749" s="6"/>
    </row>
    <row r="4750" spans="19:19" x14ac:dyDescent="0.3">
      <c r="S4750" s="6"/>
    </row>
    <row r="4751" spans="19:19" x14ac:dyDescent="0.3">
      <c r="S4751" s="6"/>
    </row>
    <row r="4752" spans="19:19" x14ac:dyDescent="0.3">
      <c r="S4752" s="6"/>
    </row>
    <row r="4753" spans="19:19" x14ac:dyDescent="0.3">
      <c r="S4753" s="6"/>
    </row>
    <row r="4754" spans="19:19" x14ac:dyDescent="0.3">
      <c r="S4754" s="6"/>
    </row>
    <row r="4755" spans="19:19" x14ac:dyDescent="0.3">
      <c r="S4755" s="6"/>
    </row>
    <row r="4756" spans="19:19" x14ac:dyDescent="0.3">
      <c r="S4756" s="6"/>
    </row>
    <row r="4757" spans="19:19" x14ac:dyDescent="0.3">
      <c r="S4757" s="6"/>
    </row>
    <row r="4758" spans="19:19" x14ac:dyDescent="0.3">
      <c r="S4758" s="6"/>
    </row>
    <row r="4759" spans="19:19" x14ac:dyDescent="0.3">
      <c r="S4759" s="6"/>
    </row>
    <row r="4760" spans="19:19" x14ac:dyDescent="0.3">
      <c r="S4760" s="6"/>
    </row>
    <row r="4761" spans="19:19" x14ac:dyDescent="0.3">
      <c r="S4761" s="6"/>
    </row>
    <row r="4762" spans="19:19" x14ac:dyDescent="0.3">
      <c r="S4762" s="6"/>
    </row>
    <row r="4763" spans="19:19" x14ac:dyDescent="0.3">
      <c r="S4763" s="6"/>
    </row>
    <row r="4764" spans="19:19" x14ac:dyDescent="0.3">
      <c r="S4764" s="6"/>
    </row>
    <row r="4765" spans="19:19" x14ac:dyDescent="0.3">
      <c r="S4765" s="6"/>
    </row>
    <row r="4766" spans="19:19" x14ac:dyDescent="0.3">
      <c r="S4766" s="6"/>
    </row>
    <row r="4767" spans="19:19" x14ac:dyDescent="0.3">
      <c r="S4767" s="6"/>
    </row>
    <row r="4768" spans="19:19" x14ac:dyDescent="0.3">
      <c r="S4768" s="6"/>
    </row>
    <row r="4769" spans="19:19" x14ac:dyDescent="0.3">
      <c r="S4769" s="6"/>
    </row>
    <row r="4770" spans="19:19" x14ac:dyDescent="0.3">
      <c r="S4770" s="6"/>
    </row>
    <row r="4771" spans="19:19" x14ac:dyDescent="0.3">
      <c r="S4771" s="6"/>
    </row>
    <row r="4772" spans="19:19" x14ac:dyDescent="0.3">
      <c r="S4772" s="6"/>
    </row>
    <row r="4773" spans="19:19" x14ac:dyDescent="0.3">
      <c r="S4773" s="6"/>
    </row>
    <row r="4774" spans="19:19" x14ac:dyDescent="0.3">
      <c r="S4774" s="6"/>
    </row>
    <row r="4775" spans="19:19" x14ac:dyDescent="0.3">
      <c r="S4775" s="6"/>
    </row>
    <row r="4776" spans="19:19" x14ac:dyDescent="0.3">
      <c r="S4776" s="6"/>
    </row>
    <row r="4777" spans="19:19" x14ac:dyDescent="0.3">
      <c r="S4777" s="6"/>
    </row>
    <row r="4778" spans="19:19" x14ac:dyDescent="0.3">
      <c r="S4778" s="6"/>
    </row>
    <row r="4779" spans="19:19" x14ac:dyDescent="0.3">
      <c r="S4779" s="6"/>
    </row>
    <row r="4780" spans="19:19" x14ac:dyDescent="0.3">
      <c r="S4780" s="6"/>
    </row>
    <row r="4781" spans="19:19" x14ac:dyDescent="0.3">
      <c r="S4781" s="6"/>
    </row>
    <row r="4782" spans="19:19" x14ac:dyDescent="0.3">
      <c r="S4782" s="6"/>
    </row>
    <row r="4783" spans="19:19" x14ac:dyDescent="0.3">
      <c r="S4783" s="6"/>
    </row>
    <row r="4784" spans="19:19" x14ac:dyDescent="0.3">
      <c r="S4784" s="6"/>
    </row>
    <row r="4785" spans="19:19" x14ac:dyDescent="0.3">
      <c r="S4785" s="6"/>
    </row>
    <row r="4786" spans="19:19" x14ac:dyDescent="0.3">
      <c r="S4786" s="6"/>
    </row>
    <row r="4787" spans="19:19" x14ac:dyDescent="0.3">
      <c r="S4787" s="6"/>
    </row>
    <row r="4788" spans="19:19" x14ac:dyDescent="0.3">
      <c r="S4788" s="6"/>
    </row>
    <row r="4789" spans="19:19" x14ac:dyDescent="0.3">
      <c r="S4789" s="6"/>
    </row>
    <row r="4790" spans="19:19" x14ac:dyDescent="0.3">
      <c r="S4790" s="6"/>
    </row>
    <row r="4791" spans="19:19" x14ac:dyDescent="0.3">
      <c r="S4791" s="6"/>
    </row>
    <row r="4792" spans="19:19" x14ac:dyDescent="0.3">
      <c r="S4792" s="6"/>
    </row>
    <row r="4793" spans="19:19" x14ac:dyDescent="0.3">
      <c r="S4793" s="6"/>
    </row>
    <row r="4794" spans="19:19" x14ac:dyDescent="0.3">
      <c r="S4794" s="6"/>
    </row>
    <row r="4795" spans="19:19" x14ac:dyDescent="0.3">
      <c r="S4795" s="6"/>
    </row>
    <row r="4796" spans="19:19" x14ac:dyDescent="0.3">
      <c r="S4796" s="6"/>
    </row>
    <row r="4797" spans="19:19" x14ac:dyDescent="0.3">
      <c r="S4797" s="6"/>
    </row>
    <row r="4798" spans="19:19" x14ac:dyDescent="0.3">
      <c r="S4798" s="6"/>
    </row>
    <row r="4799" spans="19:19" x14ac:dyDescent="0.3">
      <c r="S4799" s="6"/>
    </row>
    <row r="4800" spans="19:19" x14ac:dyDescent="0.3">
      <c r="S4800" s="6"/>
    </row>
    <row r="4801" spans="19:19" x14ac:dyDescent="0.3">
      <c r="S4801" s="6"/>
    </row>
    <row r="4802" spans="19:19" x14ac:dyDescent="0.3">
      <c r="S4802" s="6"/>
    </row>
    <row r="4803" spans="19:19" x14ac:dyDescent="0.3">
      <c r="S4803" s="6"/>
    </row>
    <row r="4804" spans="19:19" x14ac:dyDescent="0.3">
      <c r="S4804" s="6"/>
    </row>
    <row r="4805" spans="19:19" x14ac:dyDescent="0.3">
      <c r="S4805" s="6"/>
    </row>
    <row r="4806" spans="19:19" x14ac:dyDescent="0.3">
      <c r="S4806" s="6"/>
    </row>
    <row r="4807" spans="19:19" x14ac:dyDescent="0.3">
      <c r="S4807" s="6"/>
    </row>
    <row r="4808" spans="19:19" x14ac:dyDescent="0.3">
      <c r="S4808" s="6"/>
    </row>
    <row r="4809" spans="19:19" x14ac:dyDescent="0.3">
      <c r="S4809" s="6"/>
    </row>
    <row r="4810" spans="19:19" x14ac:dyDescent="0.3">
      <c r="S4810" s="6"/>
    </row>
    <row r="4811" spans="19:19" x14ac:dyDescent="0.3">
      <c r="S4811" s="6"/>
    </row>
    <row r="4812" spans="19:19" x14ac:dyDescent="0.3">
      <c r="S4812" s="6"/>
    </row>
    <row r="4813" spans="19:19" x14ac:dyDescent="0.3">
      <c r="S4813" s="6"/>
    </row>
    <row r="4814" spans="19:19" x14ac:dyDescent="0.3">
      <c r="S4814" s="6"/>
    </row>
    <row r="4815" spans="19:19" x14ac:dyDescent="0.3">
      <c r="S4815" s="6"/>
    </row>
    <row r="4816" spans="19:19" x14ac:dyDescent="0.3">
      <c r="S4816" s="6"/>
    </row>
    <row r="4817" spans="19:19" x14ac:dyDescent="0.3">
      <c r="S4817" s="6"/>
    </row>
    <row r="4818" spans="19:19" x14ac:dyDescent="0.3">
      <c r="S4818" s="6"/>
    </row>
    <row r="4819" spans="19:19" x14ac:dyDescent="0.3">
      <c r="S4819" s="6"/>
    </row>
    <row r="4820" spans="19:19" x14ac:dyDescent="0.3">
      <c r="S4820" s="6"/>
    </row>
    <row r="4821" spans="19:19" x14ac:dyDescent="0.3">
      <c r="S4821" s="6"/>
    </row>
    <row r="4822" spans="19:19" x14ac:dyDescent="0.3">
      <c r="S4822" s="6"/>
    </row>
    <row r="4823" spans="19:19" x14ac:dyDescent="0.3">
      <c r="S4823" s="6"/>
    </row>
    <row r="4824" spans="19:19" x14ac:dyDescent="0.3">
      <c r="S4824" s="6"/>
    </row>
    <row r="4825" spans="19:19" x14ac:dyDescent="0.3">
      <c r="S4825" s="6"/>
    </row>
    <row r="4826" spans="19:19" x14ac:dyDescent="0.3">
      <c r="S4826" s="6"/>
    </row>
    <row r="4827" spans="19:19" x14ac:dyDescent="0.3">
      <c r="S4827" s="6"/>
    </row>
    <row r="4828" spans="19:19" x14ac:dyDescent="0.3">
      <c r="S4828" s="6"/>
    </row>
    <row r="4829" spans="19:19" x14ac:dyDescent="0.3">
      <c r="S4829" s="6"/>
    </row>
    <row r="4830" spans="19:19" x14ac:dyDescent="0.3">
      <c r="S4830" s="6"/>
    </row>
    <row r="4831" spans="19:19" x14ac:dyDescent="0.3">
      <c r="S4831" s="6"/>
    </row>
    <row r="4832" spans="19:19" x14ac:dyDescent="0.3">
      <c r="S4832" s="6"/>
    </row>
    <row r="4833" spans="19:19" x14ac:dyDescent="0.3">
      <c r="S4833" s="6"/>
    </row>
    <row r="4834" spans="19:19" x14ac:dyDescent="0.3">
      <c r="S4834" s="6"/>
    </row>
    <row r="4835" spans="19:19" x14ac:dyDescent="0.3">
      <c r="S4835" s="6"/>
    </row>
    <row r="4836" spans="19:19" x14ac:dyDescent="0.3">
      <c r="S4836" s="6"/>
    </row>
    <row r="4837" spans="19:19" x14ac:dyDescent="0.3">
      <c r="S4837" s="6"/>
    </row>
    <row r="4838" spans="19:19" x14ac:dyDescent="0.3">
      <c r="S4838" s="6"/>
    </row>
    <row r="4839" spans="19:19" x14ac:dyDescent="0.3">
      <c r="S4839" s="6"/>
    </row>
    <row r="4840" spans="19:19" x14ac:dyDescent="0.3">
      <c r="S4840" s="6"/>
    </row>
    <row r="4841" spans="19:19" x14ac:dyDescent="0.3">
      <c r="S4841" s="6"/>
    </row>
    <row r="4842" spans="19:19" x14ac:dyDescent="0.3">
      <c r="S4842" s="6"/>
    </row>
    <row r="4843" spans="19:19" x14ac:dyDescent="0.3">
      <c r="S4843" s="6"/>
    </row>
    <row r="4844" spans="19:19" x14ac:dyDescent="0.3">
      <c r="S4844" s="6"/>
    </row>
    <row r="4845" spans="19:19" x14ac:dyDescent="0.3">
      <c r="S4845" s="6"/>
    </row>
    <row r="4846" spans="19:19" x14ac:dyDescent="0.3">
      <c r="S4846" s="6"/>
    </row>
    <row r="4847" spans="19:19" x14ac:dyDescent="0.3">
      <c r="S4847" s="6"/>
    </row>
    <row r="4848" spans="19:19" x14ac:dyDescent="0.3">
      <c r="S4848" s="6"/>
    </row>
    <row r="4849" spans="19:19" x14ac:dyDescent="0.3">
      <c r="S4849" s="6"/>
    </row>
    <row r="4850" spans="19:19" x14ac:dyDescent="0.3">
      <c r="S4850" s="6"/>
    </row>
    <row r="4851" spans="19:19" x14ac:dyDescent="0.3">
      <c r="S4851" s="6"/>
    </row>
    <row r="4852" spans="19:19" x14ac:dyDescent="0.3">
      <c r="S4852" s="6"/>
    </row>
    <row r="4853" spans="19:19" x14ac:dyDescent="0.3">
      <c r="S4853" s="6"/>
    </row>
    <row r="4854" spans="19:19" x14ac:dyDescent="0.3">
      <c r="S4854" s="6"/>
    </row>
    <row r="4855" spans="19:19" x14ac:dyDescent="0.3">
      <c r="S4855" s="6"/>
    </row>
    <row r="4856" spans="19:19" x14ac:dyDescent="0.3">
      <c r="S4856" s="6"/>
    </row>
    <row r="4857" spans="19:19" x14ac:dyDescent="0.3">
      <c r="S4857" s="6"/>
    </row>
    <row r="4858" spans="19:19" x14ac:dyDescent="0.3">
      <c r="S4858" s="6"/>
    </row>
    <row r="4859" spans="19:19" x14ac:dyDescent="0.3">
      <c r="S4859" s="6"/>
    </row>
    <row r="4860" spans="19:19" x14ac:dyDescent="0.3">
      <c r="S4860" s="6"/>
    </row>
    <row r="4861" spans="19:19" x14ac:dyDescent="0.3">
      <c r="S4861" s="6"/>
    </row>
    <row r="4862" spans="19:19" x14ac:dyDescent="0.3">
      <c r="S4862" s="6"/>
    </row>
    <row r="4863" spans="19:19" x14ac:dyDescent="0.3">
      <c r="S4863" s="6"/>
    </row>
    <row r="4864" spans="19:19" x14ac:dyDescent="0.3">
      <c r="S4864" s="6"/>
    </row>
    <row r="4865" spans="19:19" x14ac:dyDescent="0.3">
      <c r="S4865" s="6"/>
    </row>
    <row r="4866" spans="19:19" x14ac:dyDescent="0.3">
      <c r="S4866" s="6"/>
    </row>
    <row r="4867" spans="19:19" x14ac:dyDescent="0.3">
      <c r="S4867" s="6"/>
    </row>
    <row r="4868" spans="19:19" x14ac:dyDescent="0.3">
      <c r="S4868" s="6"/>
    </row>
    <row r="4869" spans="19:19" x14ac:dyDescent="0.3">
      <c r="S4869" s="6"/>
    </row>
    <row r="4870" spans="19:19" x14ac:dyDescent="0.3">
      <c r="S4870" s="6"/>
    </row>
    <row r="4871" spans="19:19" x14ac:dyDescent="0.3">
      <c r="S4871" s="6"/>
    </row>
    <row r="4872" spans="19:19" x14ac:dyDescent="0.3">
      <c r="S4872" s="6"/>
    </row>
    <row r="4873" spans="19:19" x14ac:dyDescent="0.3">
      <c r="S4873" s="6"/>
    </row>
    <row r="4874" spans="19:19" x14ac:dyDescent="0.3">
      <c r="S4874" s="6"/>
    </row>
    <row r="4875" spans="19:19" x14ac:dyDescent="0.3">
      <c r="S4875" s="6"/>
    </row>
    <row r="4876" spans="19:19" x14ac:dyDescent="0.3">
      <c r="S4876" s="6"/>
    </row>
    <row r="4877" spans="19:19" x14ac:dyDescent="0.3">
      <c r="S4877" s="6"/>
    </row>
    <row r="4878" spans="19:19" x14ac:dyDescent="0.3">
      <c r="S4878" s="6"/>
    </row>
    <row r="4879" spans="19:19" x14ac:dyDescent="0.3">
      <c r="S4879" s="6"/>
    </row>
    <row r="4880" spans="19:19" x14ac:dyDescent="0.3">
      <c r="S4880" s="6"/>
    </row>
    <row r="4881" spans="19:19" x14ac:dyDescent="0.3">
      <c r="S4881" s="6"/>
    </row>
    <row r="4882" spans="19:19" x14ac:dyDescent="0.3">
      <c r="S4882" s="6"/>
    </row>
    <row r="4883" spans="19:19" x14ac:dyDescent="0.3">
      <c r="S4883" s="6"/>
    </row>
    <row r="4884" spans="19:19" x14ac:dyDescent="0.3">
      <c r="S4884" s="6"/>
    </row>
    <row r="4885" spans="19:19" x14ac:dyDescent="0.3">
      <c r="S4885" s="6"/>
    </row>
    <row r="4886" spans="19:19" x14ac:dyDescent="0.3">
      <c r="S4886" s="6"/>
    </row>
    <row r="4887" spans="19:19" x14ac:dyDescent="0.3">
      <c r="S4887" s="6"/>
    </row>
    <row r="4888" spans="19:19" x14ac:dyDescent="0.3">
      <c r="S4888" s="6"/>
    </row>
    <row r="4889" spans="19:19" x14ac:dyDescent="0.3">
      <c r="S4889" s="6"/>
    </row>
    <row r="4890" spans="19:19" x14ac:dyDescent="0.3">
      <c r="S4890" s="6"/>
    </row>
    <row r="4891" spans="19:19" x14ac:dyDescent="0.3">
      <c r="S4891" s="6"/>
    </row>
    <row r="4892" spans="19:19" x14ac:dyDescent="0.3">
      <c r="S4892" s="6"/>
    </row>
    <row r="4893" spans="19:19" x14ac:dyDescent="0.3">
      <c r="S4893" s="6"/>
    </row>
    <row r="4894" spans="19:19" x14ac:dyDescent="0.3">
      <c r="S4894" s="6"/>
    </row>
    <row r="4895" spans="19:19" x14ac:dyDescent="0.3">
      <c r="S4895" s="6"/>
    </row>
    <row r="4896" spans="19:19" x14ac:dyDescent="0.3">
      <c r="S4896" s="6"/>
    </row>
    <row r="4897" spans="19:19" x14ac:dyDescent="0.3">
      <c r="S4897" s="6"/>
    </row>
    <row r="4898" spans="19:19" x14ac:dyDescent="0.3">
      <c r="S4898" s="6"/>
    </row>
    <row r="4899" spans="19:19" x14ac:dyDescent="0.3">
      <c r="S4899" s="6"/>
    </row>
    <row r="4900" spans="19:19" x14ac:dyDescent="0.3">
      <c r="S4900" s="6"/>
    </row>
    <row r="4901" spans="19:19" x14ac:dyDescent="0.3">
      <c r="S4901" s="6"/>
    </row>
    <row r="4902" spans="19:19" x14ac:dyDescent="0.3">
      <c r="S4902" s="6"/>
    </row>
    <row r="4903" spans="19:19" x14ac:dyDescent="0.3">
      <c r="S4903" s="6"/>
    </row>
    <row r="4904" spans="19:19" x14ac:dyDescent="0.3">
      <c r="S4904" s="6"/>
    </row>
    <row r="4905" spans="19:19" x14ac:dyDescent="0.3">
      <c r="S4905" s="6"/>
    </row>
    <row r="4906" spans="19:19" x14ac:dyDescent="0.3">
      <c r="S4906" s="6"/>
    </row>
    <row r="4907" spans="19:19" x14ac:dyDescent="0.3">
      <c r="S4907" s="6"/>
    </row>
    <row r="4908" spans="19:19" x14ac:dyDescent="0.3">
      <c r="S4908" s="6"/>
    </row>
    <row r="4909" spans="19:19" x14ac:dyDescent="0.3">
      <c r="S4909" s="6"/>
    </row>
    <row r="4910" spans="19:19" x14ac:dyDescent="0.3">
      <c r="S4910" s="6"/>
    </row>
    <row r="4911" spans="19:19" x14ac:dyDescent="0.3">
      <c r="S4911" s="6"/>
    </row>
    <row r="4912" spans="19:19" x14ac:dyDescent="0.3">
      <c r="S4912" s="6"/>
    </row>
    <row r="4913" spans="19:19" x14ac:dyDescent="0.3">
      <c r="S4913" s="6"/>
    </row>
    <row r="4914" spans="19:19" x14ac:dyDescent="0.3">
      <c r="S4914" s="6"/>
    </row>
    <row r="4915" spans="19:19" x14ac:dyDescent="0.3">
      <c r="S4915" s="6"/>
    </row>
    <row r="4916" spans="19:19" x14ac:dyDescent="0.3">
      <c r="S4916" s="6"/>
    </row>
    <row r="4917" spans="19:19" x14ac:dyDescent="0.3">
      <c r="S4917" s="6"/>
    </row>
    <row r="4918" spans="19:19" x14ac:dyDescent="0.3">
      <c r="S4918" s="6"/>
    </row>
    <row r="4919" spans="19:19" x14ac:dyDescent="0.3">
      <c r="S4919" s="6"/>
    </row>
    <row r="4920" spans="19:19" x14ac:dyDescent="0.3">
      <c r="S4920" s="6"/>
    </row>
    <row r="4921" spans="19:19" x14ac:dyDescent="0.3">
      <c r="S4921" s="6"/>
    </row>
    <row r="4922" spans="19:19" x14ac:dyDescent="0.3">
      <c r="S4922" s="6"/>
    </row>
    <row r="4923" spans="19:19" x14ac:dyDescent="0.3">
      <c r="S4923" s="6"/>
    </row>
    <row r="4924" spans="19:19" x14ac:dyDescent="0.3">
      <c r="S4924" s="6"/>
    </row>
    <row r="4925" spans="19:19" x14ac:dyDescent="0.3">
      <c r="S4925" s="6"/>
    </row>
    <row r="4926" spans="19:19" x14ac:dyDescent="0.3">
      <c r="S4926" s="6"/>
    </row>
    <row r="4927" spans="19:19" x14ac:dyDescent="0.3">
      <c r="S4927" s="6"/>
    </row>
    <row r="4928" spans="19:19" x14ac:dyDescent="0.3">
      <c r="S4928" s="6"/>
    </row>
    <row r="4929" spans="19:19" x14ac:dyDescent="0.3">
      <c r="S4929" s="6"/>
    </row>
    <row r="4930" spans="19:19" x14ac:dyDescent="0.3">
      <c r="S4930" s="6"/>
    </row>
    <row r="4931" spans="19:19" x14ac:dyDescent="0.3">
      <c r="S4931" s="6"/>
    </row>
    <row r="4932" spans="19:19" x14ac:dyDescent="0.3">
      <c r="S4932" s="6"/>
    </row>
    <row r="4933" spans="19:19" x14ac:dyDescent="0.3">
      <c r="S4933" s="6"/>
    </row>
    <row r="4934" spans="19:19" x14ac:dyDescent="0.3">
      <c r="S4934" s="6"/>
    </row>
    <row r="4935" spans="19:19" x14ac:dyDescent="0.3">
      <c r="S4935" s="6"/>
    </row>
    <row r="4936" spans="19:19" x14ac:dyDescent="0.3">
      <c r="S4936" s="6"/>
    </row>
    <row r="4937" spans="19:19" x14ac:dyDescent="0.3">
      <c r="S4937" s="6"/>
    </row>
    <row r="4938" spans="19:19" x14ac:dyDescent="0.3">
      <c r="S4938" s="6"/>
    </row>
    <row r="4939" spans="19:19" x14ac:dyDescent="0.3">
      <c r="S4939" s="6"/>
    </row>
    <row r="4940" spans="19:19" x14ac:dyDescent="0.3">
      <c r="S4940" s="6"/>
    </row>
    <row r="4941" spans="19:19" x14ac:dyDescent="0.3">
      <c r="S4941" s="6"/>
    </row>
    <row r="4942" spans="19:19" x14ac:dyDescent="0.3">
      <c r="S4942" s="6"/>
    </row>
    <row r="4943" spans="19:19" x14ac:dyDescent="0.3">
      <c r="S4943" s="6"/>
    </row>
    <row r="4944" spans="19:19" x14ac:dyDescent="0.3">
      <c r="S4944" s="6"/>
    </row>
    <row r="4945" spans="19:19" x14ac:dyDescent="0.3">
      <c r="S4945" s="6"/>
    </row>
    <row r="4946" spans="19:19" x14ac:dyDescent="0.3">
      <c r="S4946" s="6"/>
    </row>
    <row r="4947" spans="19:19" x14ac:dyDescent="0.3">
      <c r="S4947" s="6"/>
    </row>
    <row r="4948" spans="19:19" x14ac:dyDescent="0.3">
      <c r="S4948" s="6"/>
    </row>
    <row r="4949" spans="19:19" x14ac:dyDescent="0.3">
      <c r="S4949" s="6"/>
    </row>
    <row r="4950" spans="19:19" x14ac:dyDescent="0.3">
      <c r="S4950" s="6"/>
    </row>
    <row r="4951" spans="19:19" x14ac:dyDescent="0.3">
      <c r="S4951" s="6"/>
    </row>
    <row r="4952" spans="19:19" x14ac:dyDescent="0.3">
      <c r="S4952" s="6"/>
    </row>
    <row r="4953" spans="19:19" x14ac:dyDescent="0.3">
      <c r="S4953" s="6"/>
    </row>
    <row r="4954" spans="19:19" x14ac:dyDescent="0.3">
      <c r="S4954" s="6"/>
    </row>
    <row r="4955" spans="19:19" x14ac:dyDescent="0.3">
      <c r="S4955" s="6"/>
    </row>
    <row r="4956" spans="19:19" x14ac:dyDescent="0.3">
      <c r="S4956" s="6"/>
    </row>
    <row r="4957" spans="19:19" x14ac:dyDescent="0.3">
      <c r="S4957" s="6"/>
    </row>
    <row r="4958" spans="19:19" x14ac:dyDescent="0.3">
      <c r="S4958" s="6"/>
    </row>
    <row r="4959" spans="19:19" x14ac:dyDescent="0.3">
      <c r="S4959" s="6"/>
    </row>
    <row r="4960" spans="19:19" x14ac:dyDescent="0.3">
      <c r="S4960" s="6"/>
    </row>
    <row r="4961" spans="19:19" x14ac:dyDescent="0.3">
      <c r="S4961" s="6"/>
    </row>
    <row r="4962" spans="19:19" x14ac:dyDescent="0.3">
      <c r="S4962" s="6"/>
    </row>
    <row r="4963" spans="19:19" x14ac:dyDescent="0.3">
      <c r="S4963" s="6"/>
    </row>
    <row r="4964" spans="19:19" x14ac:dyDescent="0.3">
      <c r="S4964" s="6"/>
    </row>
    <row r="4965" spans="19:19" x14ac:dyDescent="0.3">
      <c r="S4965" s="6"/>
    </row>
    <row r="4966" spans="19:19" x14ac:dyDescent="0.3">
      <c r="S4966" s="6"/>
    </row>
    <row r="4967" spans="19:19" x14ac:dyDescent="0.3">
      <c r="S4967" s="6"/>
    </row>
    <row r="4968" spans="19:19" x14ac:dyDescent="0.3">
      <c r="S4968" s="6"/>
    </row>
    <row r="4969" spans="19:19" x14ac:dyDescent="0.3">
      <c r="S4969" s="6"/>
    </row>
    <row r="4970" spans="19:19" x14ac:dyDescent="0.3">
      <c r="S4970" s="6"/>
    </row>
    <row r="4971" spans="19:19" x14ac:dyDescent="0.3">
      <c r="S4971" s="6"/>
    </row>
    <row r="4972" spans="19:19" x14ac:dyDescent="0.3">
      <c r="S4972" s="6"/>
    </row>
    <row r="4973" spans="19:19" x14ac:dyDescent="0.3">
      <c r="S4973" s="6"/>
    </row>
    <row r="4974" spans="19:19" x14ac:dyDescent="0.3">
      <c r="S4974" s="6"/>
    </row>
    <row r="4975" spans="19:19" x14ac:dyDescent="0.3">
      <c r="S4975" s="6"/>
    </row>
    <row r="4976" spans="19:19" x14ac:dyDescent="0.3">
      <c r="S4976" s="6"/>
    </row>
    <row r="4977" spans="19:19" x14ac:dyDescent="0.3">
      <c r="S4977" s="6"/>
    </row>
    <row r="4978" spans="19:19" x14ac:dyDescent="0.3">
      <c r="S4978" s="6"/>
    </row>
    <row r="4979" spans="19:19" x14ac:dyDescent="0.3">
      <c r="S4979" s="6"/>
    </row>
    <row r="4980" spans="19:19" x14ac:dyDescent="0.3">
      <c r="S4980" s="6"/>
    </row>
    <row r="4981" spans="19:19" x14ac:dyDescent="0.3">
      <c r="S4981" s="6"/>
    </row>
    <row r="4982" spans="19:19" x14ac:dyDescent="0.3">
      <c r="S4982" s="6"/>
    </row>
    <row r="4983" spans="19:19" x14ac:dyDescent="0.3">
      <c r="S4983" s="6"/>
    </row>
    <row r="4984" spans="19:19" x14ac:dyDescent="0.3">
      <c r="S4984" s="6"/>
    </row>
    <row r="4985" spans="19:19" x14ac:dyDescent="0.3">
      <c r="S4985" s="6"/>
    </row>
    <row r="4986" spans="19:19" x14ac:dyDescent="0.3">
      <c r="S4986" s="6"/>
    </row>
    <row r="4987" spans="19:19" x14ac:dyDescent="0.3">
      <c r="S4987" s="6"/>
    </row>
    <row r="4988" spans="19:19" x14ac:dyDescent="0.3">
      <c r="S4988" s="6"/>
    </row>
    <row r="4989" spans="19:19" x14ac:dyDescent="0.3">
      <c r="S4989" s="6"/>
    </row>
    <row r="4990" spans="19:19" x14ac:dyDescent="0.3">
      <c r="S4990" s="6"/>
    </row>
    <row r="4991" spans="19:19" x14ac:dyDescent="0.3">
      <c r="S4991" s="6"/>
    </row>
    <row r="4992" spans="19:19" x14ac:dyDescent="0.3">
      <c r="S4992" s="6"/>
    </row>
    <row r="4993" spans="19:19" x14ac:dyDescent="0.3">
      <c r="S4993" s="6"/>
    </row>
    <row r="4994" spans="19:19" x14ac:dyDescent="0.3">
      <c r="S4994" s="6"/>
    </row>
    <row r="4995" spans="19:19" x14ac:dyDescent="0.3">
      <c r="S4995" s="6"/>
    </row>
    <row r="4996" spans="19:19" x14ac:dyDescent="0.3">
      <c r="S4996" s="6"/>
    </row>
    <row r="4997" spans="19:19" x14ac:dyDescent="0.3">
      <c r="S4997" s="6"/>
    </row>
    <row r="4998" spans="19:19" x14ac:dyDescent="0.3">
      <c r="S4998" s="6"/>
    </row>
    <row r="4999" spans="19:19" x14ac:dyDescent="0.3">
      <c r="S4999" s="6"/>
    </row>
    <row r="5000" spans="19:19" x14ac:dyDescent="0.3">
      <c r="S5000" s="6"/>
    </row>
    <row r="5001" spans="19:19" x14ac:dyDescent="0.3">
      <c r="S5001" s="6"/>
    </row>
    <row r="5002" spans="19:19" x14ac:dyDescent="0.3">
      <c r="S5002" s="6"/>
    </row>
    <row r="5003" spans="19:19" x14ac:dyDescent="0.3">
      <c r="S5003" s="6"/>
    </row>
    <row r="5004" spans="19:19" x14ac:dyDescent="0.3">
      <c r="S5004" s="6"/>
    </row>
    <row r="5005" spans="19:19" x14ac:dyDescent="0.3">
      <c r="S5005" s="6"/>
    </row>
    <row r="5006" spans="19:19" x14ac:dyDescent="0.3">
      <c r="S5006" s="6"/>
    </row>
    <row r="5007" spans="19:19" x14ac:dyDescent="0.3">
      <c r="S5007" s="6"/>
    </row>
    <row r="5008" spans="19:19" x14ac:dyDescent="0.3">
      <c r="S5008" s="6"/>
    </row>
    <row r="5009" spans="19:19" x14ac:dyDescent="0.3">
      <c r="S5009" s="6"/>
    </row>
    <row r="5010" spans="19:19" x14ac:dyDescent="0.3">
      <c r="S5010" s="6"/>
    </row>
    <row r="5011" spans="19:19" x14ac:dyDescent="0.3">
      <c r="S5011" s="6"/>
    </row>
    <row r="5012" spans="19:19" x14ac:dyDescent="0.3">
      <c r="S5012" s="6"/>
    </row>
    <row r="5013" spans="19:19" x14ac:dyDescent="0.3">
      <c r="S5013" s="6"/>
    </row>
    <row r="5014" spans="19:19" x14ac:dyDescent="0.3">
      <c r="S5014" s="6"/>
    </row>
    <row r="5015" spans="19:19" x14ac:dyDescent="0.3">
      <c r="S5015" s="6"/>
    </row>
    <row r="5016" spans="19:19" x14ac:dyDescent="0.3">
      <c r="S5016" s="6"/>
    </row>
    <row r="5017" spans="19:19" x14ac:dyDescent="0.3">
      <c r="S5017" s="6"/>
    </row>
    <row r="5018" spans="19:19" x14ac:dyDescent="0.3">
      <c r="S5018" s="6"/>
    </row>
    <row r="5019" spans="19:19" x14ac:dyDescent="0.3">
      <c r="S5019" s="6"/>
    </row>
    <row r="5020" spans="19:19" x14ac:dyDescent="0.3">
      <c r="S5020" s="6"/>
    </row>
    <row r="5021" spans="19:19" x14ac:dyDescent="0.3">
      <c r="S5021" s="6"/>
    </row>
    <row r="5022" spans="19:19" x14ac:dyDescent="0.3">
      <c r="S5022" s="6"/>
    </row>
    <row r="5023" spans="19:19" x14ac:dyDescent="0.3">
      <c r="S5023" s="6"/>
    </row>
    <row r="5024" spans="19:19" x14ac:dyDescent="0.3">
      <c r="S5024" s="6"/>
    </row>
    <row r="5025" spans="19:19" x14ac:dyDescent="0.3">
      <c r="S5025" s="6"/>
    </row>
    <row r="5026" spans="19:19" x14ac:dyDescent="0.3">
      <c r="S5026" s="6"/>
    </row>
    <row r="5027" spans="19:19" x14ac:dyDescent="0.3">
      <c r="S5027" s="6"/>
    </row>
    <row r="5028" spans="19:19" x14ac:dyDescent="0.3">
      <c r="S5028" s="6"/>
    </row>
    <row r="5029" spans="19:19" x14ac:dyDescent="0.3">
      <c r="S5029" s="6"/>
    </row>
    <row r="5030" spans="19:19" x14ac:dyDescent="0.3">
      <c r="S5030" s="6"/>
    </row>
    <row r="5031" spans="19:19" x14ac:dyDescent="0.3">
      <c r="S5031" s="6"/>
    </row>
    <row r="5032" spans="19:19" x14ac:dyDescent="0.3">
      <c r="S5032" s="6"/>
    </row>
    <row r="5033" spans="19:19" x14ac:dyDescent="0.3">
      <c r="S5033" s="6"/>
    </row>
    <row r="5034" spans="19:19" x14ac:dyDescent="0.3">
      <c r="S5034" s="6"/>
    </row>
    <row r="5035" spans="19:19" x14ac:dyDescent="0.3">
      <c r="S5035" s="6"/>
    </row>
    <row r="5036" spans="19:19" x14ac:dyDescent="0.3">
      <c r="S5036" s="6"/>
    </row>
    <row r="5037" spans="19:19" x14ac:dyDescent="0.3">
      <c r="S5037" s="6"/>
    </row>
    <row r="5038" spans="19:19" x14ac:dyDescent="0.3">
      <c r="S5038" s="6"/>
    </row>
    <row r="5039" spans="19:19" x14ac:dyDescent="0.3">
      <c r="S5039" s="6"/>
    </row>
    <row r="5040" spans="19:19" x14ac:dyDescent="0.3">
      <c r="S5040" s="6"/>
    </row>
    <row r="5041" spans="19:19" x14ac:dyDescent="0.3">
      <c r="S5041" s="6"/>
    </row>
    <row r="5042" spans="19:19" x14ac:dyDescent="0.3">
      <c r="S5042" s="6"/>
    </row>
    <row r="5043" spans="19:19" x14ac:dyDescent="0.3">
      <c r="S5043" s="6"/>
    </row>
    <row r="5044" spans="19:19" x14ac:dyDescent="0.3">
      <c r="S5044" s="6"/>
    </row>
    <row r="5045" spans="19:19" x14ac:dyDescent="0.3">
      <c r="S5045" s="6"/>
    </row>
    <row r="5046" spans="19:19" x14ac:dyDescent="0.3">
      <c r="S5046" s="6"/>
    </row>
    <row r="5047" spans="19:19" x14ac:dyDescent="0.3">
      <c r="S5047" s="6"/>
    </row>
    <row r="5048" spans="19:19" x14ac:dyDescent="0.3">
      <c r="S5048" s="6"/>
    </row>
    <row r="5049" spans="19:19" x14ac:dyDescent="0.3">
      <c r="S5049" s="6"/>
    </row>
    <row r="5050" spans="19:19" x14ac:dyDescent="0.3">
      <c r="S5050" s="6"/>
    </row>
    <row r="5051" spans="19:19" x14ac:dyDescent="0.3">
      <c r="S5051" s="6"/>
    </row>
    <row r="5052" spans="19:19" x14ac:dyDescent="0.3">
      <c r="S5052" s="6"/>
    </row>
    <row r="5053" spans="19:19" x14ac:dyDescent="0.3">
      <c r="S5053" s="6"/>
    </row>
    <row r="5054" spans="19:19" x14ac:dyDescent="0.3">
      <c r="S5054" s="6"/>
    </row>
    <row r="5055" spans="19:19" x14ac:dyDescent="0.3">
      <c r="S5055" s="6"/>
    </row>
    <row r="5056" spans="19:19" x14ac:dyDescent="0.3">
      <c r="S5056" s="6"/>
    </row>
    <row r="5057" spans="19:19" x14ac:dyDescent="0.3">
      <c r="S5057" s="6"/>
    </row>
    <row r="5058" spans="19:19" x14ac:dyDescent="0.3">
      <c r="S5058" s="6"/>
    </row>
    <row r="5059" spans="19:19" x14ac:dyDescent="0.3">
      <c r="S5059" s="6"/>
    </row>
    <row r="5060" spans="19:19" x14ac:dyDescent="0.3">
      <c r="S5060" s="6"/>
    </row>
    <row r="5061" spans="19:19" x14ac:dyDescent="0.3">
      <c r="S5061" s="6"/>
    </row>
    <row r="5062" spans="19:19" x14ac:dyDescent="0.3">
      <c r="S5062" s="6"/>
    </row>
    <row r="5063" spans="19:19" x14ac:dyDescent="0.3">
      <c r="S5063" s="6"/>
    </row>
    <row r="5064" spans="19:19" x14ac:dyDescent="0.3">
      <c r="S5064" s="6"/>
    </row>
    <row r="5065" spans="19:19" x14ac:dyDescent="0.3">
      <c r="S5065" s="6"/>
    </row>
    <row r="5066" spans="19:19" x14ac:dyDescent="0.3">
      <c r="S5066" s="6"/>
    </row>
    <row r="5067" spans="19:19" x14ac:dyDescent="0.3">
      <c r="S5067" s="6"/>
    </row>
    <row r="5068" spans="19:19" x14ac:dyDescent="0.3">
      <c r="S5068" s="6"/>
    </row>
    <row r="5069" spans="19:19" x14ac:dyDescent="0.3">
      <c r="S5069" s="6"/>
    </row>
    <row r="5070" spans="19:19" x14ac:dyDescent="0.3">
      <c r="S5070" s="6"/>
    </row>
    <row r="5071" spans="19:19" x14ac:dyDescent="0.3">
      <c r="S5071" s="6"/>
    </row>
    <row r="5072" spans="19:19" x14ac:dyDescent="0.3">
      <c r="S5072" s="6"/>
    </row>
    <row r="5073" spans="19:19" x14ac:dyDescent="0.3">
      <c r="S5073" s="6"/>
    </row>
    <row r="5074" spans="19:19" x14ac:dyDescent="0.3">
      <c r="S5074" s="6"/>
    </row>
    <row r="5075" spans="19:19" x14ac:dyDescent="0.3">
      <c r="S5075" s="6"/>
    </row>
    <row r="5076" spans="19:19" x14ac:dyDescent="0.3">
      <c r="S5076" s="6"/>
    </row>
    <row r="5077" spans="19:19" x14ac:dyDescent="0.3">
      <c r="S5077" s="6"/>
    </row>
    <row r="5078" spans="19:19" x14ac:dyDescent="0.3">
      <c r="S5078" s="6"/>
    </row>
    <row r="5079" spans="19:19" x14ac:dyDescent="0.3">
      <c r="S5079" s="6"/>
    </row>
    <row r="5080" spans="19:19" x14ac:dyDescent="0.3">
      <c r="S5080" s="6"/>
    </row>
    <row r="5081" spans="19:19" x14ac:dyDescent="0.3">
      <c r="S5081" s="6"/>
    </row>
    <row r="5082" spans="19:19" x14ac:dyDescent="0.3">
      <c r="S5082" s="6"/>
    </row>
    <row r="5083" spans="19:19" x14ac:dyDescent="0.3">
      <c r="S5083" s="6"/>
    </row>
    <row r="5084" spans="19:19" x14ac:dyDescent="0.3">
      <c r="S5084" s="6"/>
    </row>
    <row r="5085" spans="19:19" x14ac:dyDescent="0.3">
      <c r="S5085" s="6"/>
    </row>
    <row r="5086" spans="19:19" x14ac:dyDescent="0.3">
      <c r="S5086" s="6"/>
    </row>
    <row r="5087" spans="19:19" x14ac:dyDescent="0.3">
      <c r="S5087" s="6"/>
    </row>
    <row r="5088" spans="19:19" x14ac:dyDescent="0.3">
      <c r="S5088" s="6"/>
    </row>
    <row r="5089" spans="19:19" x14ac:dyDescent="0.3">
      <c r="S5089" s="6"/>
    </row>
    <row r="5090" spans="19:19" x14ac:dyDescent="0.3">
      <c r="S5090" s="6"/>
    </row>
    <row r="5091" spans="19:19" x14ac:dyDescent="0.3">
      <c r="S5091" s="6"/>
    </row>
    <row r="5092" spans="19:19" x14ac:dyDescent="0.3">
      <c r="S5092" s="6"/>
    </row>
    <row r="5093" spans="19:19" x14ac:dyDescent="0.3">
      <c r="S5093" s="6"/>
    </row>
    <row r="5094" spans="19:19" x14ac:dyDescent="0.3">
      <c r="S5094" s="6"/>
    </row>
    <row r="5095" spans="19:19" x14ac:dyDescent="0.3">
      <c r="S5095" s="6"/>
    </row>
    <row r="5096" spans="19:19" x14ac:dyDescent="0.3">
      <c r="S5096" s="6"/>
    </row>
    <row r="5097" spans="19:19" x14ac:dyDescent="0.3">
      <c r="S5097" s="6"/>
    </row>
    <row r="5098" spans="19:19" x14ac:dyDescent="0.3">
      <c r="S5098" s="6"/>
    </row>
    <row r="5099" spans="19:19" x14ac:dyDescent="0.3">
      <c r="S5099" s="6"/>
    </row>
    <row r="5100" spans="19:19" x14ac:dyDescent="0.3">
      <c r="S5100" s="6"/>
    </row>
    <row r="5101" spans="19:19" x14ac:dyDescent="0.3">
      <c r="S5101" s="6"/>
    </row>
    <row r="5102" spans="19:19" x14ac:dyDescent="0.3">
      <c r="S5102" s="6"/>
    </row>
    <row r="5103" spans="19:19" x14ac:dyDescent="0.3">
      <c r="S5103" s="6"/>
    </row>
    <row r="5104" spans="19:19" x14ac:dyDescent="0.3">
      <c r="S5104" s="6"/>
    </row>
    <row r="5105" spans="19:19" x14ac:dyDescent="0.3">
      <c r="S5105" s="6"/>
    </row>
    <row r="5106" spans="19:19" x14ac:dyDescent="0.3">
      <c r="S5106" s="6"/>
    </row>
    <row r="5107" spans="19:19" x14ac:dyDescent="0.3">
      <c r="S5107" s="6"/>
    </row>
    <row r="5108" spans="19:19" x14ac:dyDescent="0.3">
      <c r="S5108" s="6"/>
    </row>
    <row r="5109" spans="19:19" x14ac:dyDescent="0.3">
      <c r="S5109" s="6"/>
    </row>
    <row r="5110" spans="19:19" x14ac:dyDescent="0.3">
      <c r="S5110" s="6"/>
    </row>
    <row r="5111" spans="19:19" x14ac:dyDescent="0.3">
      <c r="S5111" s="6"/>
    </row>
    <row r="5112" spans="19:19" x14ac:dyDescent="0.3">
      <c r="S5112" s="6"/>
    </row>
    <row r="5113" spans="19:19" x14ac:dyDescent="0.3">
      <c r="S5113" s="6"/>
    </row>
    <row r="5114" spans="19:19" x14ac:dyDescent="0.3">
      <c r="S5114" s="6"/>
    </row>
    <row r="5115" spans="19:19" x14ac:dyDescent="0.3">
      <c r="S5115" s="6"/>
    </row>
    <row r="5116" spans="19:19" x14ac:dyDescent="0.3">
      <c r="S5116" s="6"/>
    </row>
    <row r="5117" spans="19:19" x14ac:dyDescent="0.3">
      <c r="S5117" s="6"/>
    </row>
    <row r="5118" spans="19:19" x14ac:dyDescent="0.3">
      <c r="S5118" s="6"/>
    </row>
    <row r="5119" spans="19:19" x14ac:dyDescent="0.3">
      <c r="S5119" s="6"/>
    </row>
    <row r="5120" spans="19:19" x14ac:dyDescent="0.3">
      <c r="S5120" s="6"/>
    </row>
    <row r="5121" spans="19:19" x14ac:dyDescent="0.3">
      <c r="S5121" s="6"/>
    </row>
    <row r="5122" spans="19:19" x14ac:dyDescent="0.3">
      <c r="S5122" s="6"/>
    </row>
    <row r="5123" spans="19:19" x14ac:dyDescent="0.3">
      <c r="S5123" s="6"/>
    </row>
    <row r="5124" spans="19:19" x14ac:dyDescent="0.3">
      <c r="S5124" s="6"/>
    </row>
    <row r="5125" spans="19:19" x14ac:dyDescent="0.3">
      <c r="S5125" s="6"/>
    </row>
    <row r="5126" spans="19:19" x14ac:dyDescent="0.3">
      <c r="S5126" s="6"/>
    </row>
    <row r="5127" spans="19:19" x14ac:dyDescent="0.3">
      <c r="S5127" s="6"/>
    </row>
    <row r="5128" spans="19:19" x14ac:dyDescent="0.3">
      <c r="S5128" s="6"/>
    </row>
    <row r="5129" spans="19:19" x14ac:dyDescent="0.3">
      <c r="S5129" s="6"/>
    </row>
    <row r="5130" spans="19:19" x14ac:dyDescent="0.3">
      <c r="S5130" s="6"/>
    </row>
    <row r="5131" spans="19:19" x14ac:dyDescent="0.3">
      <c r="S5131" s="6"/>
    </row>
    <row r="5132" spans="19:19" x14ac:dyDescent="0.3">
      <c r="S5132" s="6"/>
    </row>
    <row r="5133" spans="19:19" x14ac:dyDescent="0.3">
      <c r="S5133" s="6"/>
    </row>
    <row r="5134" spans="19:19" x14ac:dyDescent="0.3">
      <c r="S5134" s="6"/>
    </row>
    <row r="5135" spans="19:19" x14ac:dyDescent="0.3">
      <c r="S5135" s="6"/>
    </row>
    <row r="5136" spans="19:19" x14ac:dyDescent="0.3">
      <c r="S5136" s="6"/>
    </row>
    <row r="5137" spans="19:19" x14ac:dyDescent="0.3">
      <c r="S5137" s="6"/>
    </row>
    <row r="5138" spans="19:19" x14ac:dyDescent="0.3">
      <c r="S5138" s="6"/>
    </row>
    <row r="5139" spans="19:19" x14ac:dyDescent="0.3">
      <c r="S5139" s="6"/>
    </row>
    <row r="5140" spans="19:19" x14ac:dyDescent="0.3">
      <c r="S5140" s="6"/>
    </row>
    <row r="5141" spans="19:19" x14ac:dyDescent="0.3">
      <c r="S5141" s="6"/>
    </row>
    <row r="5142" spans="19:19" x14ac:dyDescent="0.3">
      <c r="S5142" s="6"/>
    </row>
    <row r="5143" spans="19:19" x14ac:dyDescent="0.3">
      <c r="S5143" s="6"/>
    </row>
    <row r="5144" spans="19:19" x14ac:dyDescent="0.3">
      <c r="S5144" s="6"/>
    </row>
    <row r="5145" spans="19:19" x14ac:dyDescent="0.3">
      <c r="S5145" s="6"/>
    </row>
    <row r="5146" spans="19:19" x14ac:dyDescent="0.3">
      <c r="S5146" s="6"/>
    </row>
    <row r="5147" spans="19:19" x14ac:dyDescent="0.3">
      <c r="S5147" s="6"/>
    </row>
    <row r="5148" spans="19:19" x14ac:dyDescent="0.3">
      <c r="S5148" s="6"/>
    </row>
    <row r="5149" spans="19:19" x14ac:dyDescent="0.3">
      <c r="S5149" s="6"/>
    </row>
    <row r="5150" spans="19:19" x14ac:dyDescent="0.3">
      <c r="S5150" s="6"/>
    </row>
    <row r="5151" spans="19:19" x14ac:dyDescent="0.3">
      <c r="S5151" s="6"/>
    </row>
    <row r="5152" spans="19:19" x14ac:dyDescent="0.3">
      <c r="S5152" s="6"/>
    </row>
    <row r="5153" spans="19:19" x14ac:dyDescent="0.3">
      <c r="S5153" s="6"/>
    </row>
    <row r="5154" spans="19:19" x14ac:dyDescent="0.3">
      <c r="S5154" s="6"/>
    </row>
    <row r="5155" spans="19:19" x14ac:dyDescent="0.3">
      <c r="S5155" s="6"/>
    </row>
    <row r="5156" spans="19:19" x14ac:dyDescent="0.3">
      <c r="S5156" s="6"/>
    </row>
    <row r="5157" spans="19:19" x14ac:dyDescent="0.3">
      <c r="S5157" s="6"/>
    </row>
    <row r="5158" spans="19:19" x14ac:dyDescent="0.3">
      <c r="S5158" s="6"/>
    </row>
    <row r="5159" spans="19:19" x14ac:dyDescent="0.3">
      <c r="S5159" s="6"/>
    </row>
    <row r="5160" spans="19:19" x14ac:dyDescent="0.3">
      <c r="S5160" s="6"/>
    </row>
    <row r="5161" spans="19:19" x14ac:dyDescent="0.3">
      <c r="S5161" s="6"/>
    </row>
    <row r="5162" spans="19:19" x14ac:dyDescent="0.3">
      <c r="S5162" s="6"/>
    </row>
    <row r="5163" spans="19:19" x14ac:dyDescent="0.3">
      <c r="S5163" s="6"/>
    </row>
    <row r="5164" spans="19:19" x14ac:dyDescent="0.3">
      <c r="S5164" s="6"/>
    </row>
    <row r="5165" spans="19:19" x14ac:dyDescent="0.3">
      <c r="S5165" s="6"/>
    </row>
    <row r="5166" spans="19:19" x14ac:dyDescent="0.3">
      <c r="S5166" s="6"/>
    </row>
    <row r="5167" spans="19:19" x14ac:dyDescent="0.3">
      <c r="S5167" s="6"/>
    </row>
    <row r="5168" spans="19:19" x14ac:dyDescent="0.3">
      <c r="S5168" s="6"/>
    </row>
    <row r="5169" spans="19:19" x14ac:dyDescent="0.3">
      <c r="S5169" s="6"/>
    </row>
    <row r="5170" spans="19:19" x14ac:dyDescent="0.3">
      <c r="S5170" s="6"/>
    </row>
    <row r="5171" spans="19:19" x14ac:dyDescent="0.3">
      <c r="S5171" s="6"/>
    </row>
    <row r="5172" spans="19:19" x14ac:dyDescent="0.3">
      <c r="S5172" s="6"/>
    </row>
    <row r="5173" spans="19:19" x14ac:dyDescent="0.3">
      <c r="S5173" s="6"/>
    </row>
    <row r="5174" spans="19:19" x14ac:dyDescent="0.3">
      <c r="S5174" s="6"/>
    </row>
    <row r="5175" spans="19:19" x14ac:dyDescent="0.3">
      <c r="S5175" s="6"/>
    </row>
    <row r="5176" spans="19:19" x14ac:dyDescent="0.3">
      <c r="S5176" s="6"/>
    </row>
    <row r="5177" spans="19:19" x14ac:dyDescent="0.3">
      <c r="S5177" s="6"/>
    </row>
    <row r="5178" spans="19:19" x14ac:dyDescent="0.3">
      <c r="S5178" s="6"/>
    </row>
    <row r="5179" spans="19:19" x14ac:dyDescent="0.3">
      <c r="S5179" s="6"/>
    </row>
    <row r="5180" spans="19:19" x14ac:dyDescent="0.3">
      <c r="S5180" s="6"/>
    </row>
    <row r="5181" spans="19:19" x14ac:dyDescent="0.3">
      <c r="S5181" s="6"/>
    </row>
    <row r="5182" spans="19:19" x14ac:dyDescent="0.3">
      <c r="S5182" s="6"/>
    </row>
    <row r="5183" spans="19:19" x14ac:dyDescent="0.3">
      <c r="S5183" s="6"/>
    </row>
    <row r="5184" spans="19:19" x14ac:dyDescent="0.3">
      <c r="S5184" s="6"/>
    </row>
    <row r="5185" spans="19:19" x14ac:dyDescent="0.3">
      <c r="S5185" s="6"/>
    </row>
    <row r="5186" spans="19:19" x14ac:dyDescent="0.3">
      <c r="S5186" s="6"/>
    </row>
    <row r="5187" spans="19:19" x14ac:dyDescent="0.3">
      <c r="S5187" s="6"/>
    </row>
    <row r="5188" spans="19:19" x14ac:dyDescent="0.3">
      <c r="S5188" s="6"/>
    </row>
    <row r="5189" spans="19:19" x14ac:dyDescent="0.3">
      <c r="S5189" s="6"/>
    </row>
    <row r="5190" spans="19:19" x14ac:dyDescent="0.3">
      <c r="S5190" s="6"/>
    </row>
    <row r="5191" spans="19:19" x14ac:dyDescent="0.3">
      <c r="S5191" s="6"/>
    </row>
    <row r="5192" spans="19:19" x14ac:dyDescent="0.3">
      <c r="S5192" s="6"/>
    </row>
    <row r="5193" spans="19:19" x14ac:dyDescent="0.3">
      <c r="S5193" s="6"/>
    </row>
    <row r="5194" spans="19:19" x14ac:dyDescent="0.3">
      <c r="S5194" s="6"/>
    </row>
    <row r="5195" spans="19:19" x14ac:dyDescent="0.3">
      <c r="S5195" s="6"/>
    </row>
    <row r="5196" spans="19:19" x14ac:dyDescent="0.3">
      <c r="S5196" s="6"/>
    </row>
    <row r="5197" spans="19:19" x14ac:dyDescent="0.3">
      <c r="S5197" s="6"/>
    </row>
    <row r="5198" spans="19:19" x14ac:dyDescent="0.3">
      <c r="S5198" s="6"/>
    </row>
    <row r="5199" spans="19:19" x14ac:dyDescent="0.3">
      <c r="S5199" s="6"/>
    </row>
    <row r="5200" spans="19:19" x14ac:dyDescent="0.3">
      <c r="S5200" s="6"/>
    </row>
    <row r="5201" spans="19:19" x14ac:dyDescent="0.3">
      <c r="S5201" s="6"/>
    </row>
    <row r="5202" spans="19:19" x14ac:dyDescent="0.3">
      <c r="S5202" s="6"/>
    </row>
    <row r="5203" spans="19:19" x14ac:dyDescent="0.3">
      <c r="S5203" s="6"/>
    </row>
    <row r="5204" spans="19:19" x14ac:dyDescent="0.3">
      <c r="S5204" s="6"/>
    </row>
    <row r="5205" spans="19:19" x14ac:dyDescent="0.3">
      <c r="S5205" s="6"/>
    </row>
    <row r="5206" spans="19:19" x14ac:dyDescent="0.3">
      <c r="S5206" s="6"/>
    </row>
    <row r="5207" spans="19:19" x14ac:dyDescent="0.3">
      <c r="S5207" s="6"/>
    </row>
    <row r="5208" spans="19:19" x14ac:dyDescent="0.3">
      <c r="S5208" s="6"/>
    </row>
    <row r="5209" spans="19:19" x14ac:dyDescent="0.3">
      <c r="S5209" s="6"/>
    </row>
    <row r="5210" spans="19:19" x14ac:dyDescent="0.3">
      <c r="S5210" s="6"/>
    </row>
    <row r="5211" spans="19:19" x14ac:dyDescent="0.3">
      <c r="S5211" s="6"/>
    </row>
    <row r="5212" spans="19:19" x14ac:dyDescent="0.3">
      <c r="S5212" s="6"/>
    </row>
    <row r="5213" spans="19:19" x14ac:dyDescent="0.3">
      <c r="S5213" s="6"/>
    </row>
    <row r="5214" spans="19:19" x14ac:dyDescent="0.3">
      <c r="S5214" s="6"/>
    </row>
    <row r="5215" spans="19:19" x14ac:dyDescent="0.3">
      <c r="S5215" s="6"/>
    </row>
    <row r="5216" spans="19:19" x14ac:dyDescent="0.3">
      <c r="S5216" s="6"/>
    </row>
    <row r="5217" spans="19:19" x14ac:dyDescent="0.3">
      <c r="S5217" s="6"/>
    </row>
    <row r="5218" spans="19:19" x14ac:dyDescent="0.3">
      <c r="S5218" s="6"/>
    </row>
    <row r="5219" spans="19:19" x14ac:dyDescent="0.3">
      <c r="S5219" s="6"/>
    </row>
    <row r="5220" spans="19:19" x14ac:dyDescent="0.3">
      <c r="S5220" s="6"/>
    </row>
    <row r="5221" spans="19:19" x14ac:dyDescent="0.3">
      <c r="S5221" s="6"/>
    </row>
    <row r="5222" spans="19:19" x14ac:dyDescent="0.3">
      <c r="S5222" s="6"/>
    </row>
    <row r="5223" spans="19:19" x14ac:dyDescent="0.3">
      <c r="S5223" s="6"/>
    </row>
    <row r="5224" spans="19:19" x14ac:dyDescent="0.3">
      <c r="S5224" s="6"/>
    </row>
    <row r="5225" spans="19:19" x14ac:dyDescent="0.3">
      <c r="S5225" s="6"/>
    </row>
    <row r="5226" spans="19:19" x14ac:dyDescent="0.3">
      <c r="S5226" s="6"/>
    </row>
    <row r="5227" spans="19:19" x14ac:dyDescent="0.3">
      <c r="S5227" s="6"/>
    </row>
    <row r="5228" spans="19:19" x14ac:dyDescent="0.3">
      <c r="S5228" s="6"/>
    </row>
    <row r="5229" spans="19:19" x14ac:dyDescent="0.3">
      <c r="S5229" s="6"/>
    </row>
    <row r="5230" spans="19:19" x14ac:dyDescent="0.3">
      <c r="S5230" s="6"/>
    </row>
    <row r="5231" spans="19:19" x14ac:dyDescent="0.3">
      <c r="S5231" s="6"/>
    </row>
    <row r="5232" spans="19:19" x14ac:dyDescent="0.3">
      <c r="S5232" s="6"/>
    </row>
    <row r="5233" spans="19:19" x14ac:dyDescent="0.3">
      <c r="S5233" s="6"/>
    </row>
    <row r="5234" spans="19:19" x14ac:dyDescent="0.3">
      <c r="S5234" s="6"/>
    </row>
    <row r="5235" spans="19:19" x14ac:dyDescent="0.3">
      <c r="S5235" s="6"/>
    </row>
    <row r="5236" spans="19:19" x14ac:dyDescent="0.3">
      <c r="S5236" s="6"/>
    </row>
    <row r="5237" spans="19:19" x14ac:dyDescent="0.3">
      <c r="S5237" s="6"/>
    </row>
    <row r="5238" spans="19:19" x14ac:dyDescent="0.3">
      <c r="S5238" s="6"/>
    </row>
    <row r="5239" spans="19:19" x14ac:dyDescent="0.3">
      <c r="S5239" s="6"/>
    </row>
    <row r="5240" spans="19:19" x14ac:dyDescent="0.3">
      <c r="S5240" s="6"/>
    </row>
    <row r="5241" spans="19:19" x14ac:dyDescent="0.3">
      <c r="S5241" s="6"/>
    </row>
    <row r="5242" spans="19:19" x14ac:dyDescent="0.3">
      <c r="S5242" s="6"/>
    </row>
    <row r="5243" spans="19:19" x14ac:dyDescent="0.3">
      <c r="S5243" s="6"/>
    </row>
    <row r="5244" spans="19:19" x14ac:dyDescent="0.3">
      <c r="S5244" s="6"/>
    </row>
    <row r="5245" spans="19:19" x14ac:dyDescent="0.3">
      <c r="S5245" s="6"/>
    </row>
    <row r="5246" spans="19:19" x14ac:dyDescent="0.3">
      <c r="S5246" s="6"/>
    </row>
    <row r="5247" spans="19:19" x14ac:dyDescent="0.3">
      <c r="S5247" s="6"/>
    </row>
    <row r="5248" spans="19:19" x14ac:dyDescent="0.3">
      <c r="S5248" s="6"/>
    </row>
    <row r="5249" spans="19:19" x14ac:dyDescent="0.3">
      <c r="S5249" s="6"/>
    </row>
    <row r="5250" spans="19:19" x14ac:dyDescent="0.3">
      <c r="S5250" s="6"/>
    </row>
    <row r="5251" spans="19:19" x14ac:dyDescent="0.3">
      <c r="S5251" s="6"/>
    </row>
    <row r="5252" spans="19:19" x14ac:dyDescent="0.3">
      <c r="S5252" s="6"/>
    </row>
    <row r="5253" spans="19:19" x14ac:dyDescent="0.3">
      <c r="S5253" s="6"/>
    </row>
    <row r="5254" spans="19:19" x14ac:dyDescent="0.3">
      <c r="S5254" s="6"/>
    </row>
    <row r="5255" spans="19:19" x14ac:dyDescent="0.3">
      <c r="S5255" s="6"/>
    </row>
    <row r="5256" spans="19:19" x14ac:dyDescent="0.3">
      <c r="S5256" s="6"/>
    </row>
    <row r="5257" spans="19:19" x14ac:dyDescent="0.3">
      <c r="S5257" s="6"/>
    </row>
    <row r="5258" spans="19:19" x14ac:dyDescent="0.3">
      <c r="S5258" s="6"/>
    </row>
    <row r="5259" spans="19:19" x14ac:dyDescent="0.3">
      <c r="S5259" s="6"/>
    </row>
    <row r="5260" spans="19:19" x14ac:dyDescent="0.3">
      <c r="S5260" s="6"/>
    </row>
    <row r="5261" spans="19:19" x14ac:dyDescent="0.3">
      <c r="S5261" s="6"/>
    </row>
    <row r="5262" spans="19:19" x14ac:dyDescent="0.3">
      <c r="S5262" s="6"/>
    </row>
    <row r="5263" spans="19:19" x14ac:dyDescent="0.3">
      <c r="S5263" s="6"/>
    </row>
    <row r="5264" spans="19:19" x14ac:dyDescent="0.3">
      <c r="S5264" s="6"/>
    </row>
    <row r="5265" spans="19:19" x14ac:dyDescent="0.3">
      <c r="S5265" s="6"/>
    </row>
    <row r="5266" spans="19:19" x14ac:dyDescent="0.3">
      <c r="S5266" s="6"/>
    </row>
    <row r="5267" spans="19:19" x14ac:dyDescent="0.3">
      <c r="S5267" s="6"/>
    </row>
    <row r="5268" spans="19:19" x14ac:dyDescent="0.3">
      <c r="S5268" s="6"/>
    </row>
    <row r="5269" spans="19:19" x14ac:dyDescent="0.3">
      <c r="S5269" s="6"/>
    </row>
    <row r="5270" spans="19:19" x14ac:dyDescent="0.3">
      <c r="S5270" s="6"/>
    </row>
    <row r="5271" spans="19:19" x14ac:dyDescent="0.3">
      <c r="S5271" s="6"/>
    </row>
    <row r="5272" spans="19:19" x14ac:dyDescent="0.3">
      <c r="S5272" s="6"/>
    </row>
    <row r="5273" spans="19:19" x14ac:dyDescent="0.3">
      <c r="S5273" s="6"/>
    </row>
    <row r="5274" spans="19:19" x14ac:dyDescent="0.3">
      <c r="S5274" s="6"/>
    </row>
    <row r="5275" spans="19:19" x14ac:dyDescent="0.3">
      <c r="S5275" s="6"/>
    </row>
    <row r="5276" spans="19:19" x14ac:dyDescent="0.3">
      <c r="S5276" s="6"/>
    </row>
    <row r="5277" spans="19:19" x14ac:dyDescent="0.3">
      <c r="S5277" s="6"/>
    </row>
    <row r="5278" spans="19:19" x14ac:dyDescent="0.3">
      <c r="S5278" s="6"/>
    </row>
    <row r="5279" spans="19:19" x14ac:dyDescent="0.3">
      <c r="S5279" s="6"/>
    </row>
    <row r="5280" spans="19:19" x14ac:dyDescent="0.3">
      <c r="S5280" s="6"/>
    </row>
    <row r="5281" spans="19:19" x14ac:dyDescent="0.3">
      <c r="S5281" s="6"/>
    </row>
    <row r="5282" spans="19:19" x14ac:dyDescent="0.3">
      <c r="S5282" s="6"/>
    </row>
    <row r="5283" spans="19:19" x14ac:dyDescent="0.3">
      <c r="S5283" s="6"/>
    </row>
    <row r="5284" spans="19:19" x14ac:dyDescent="0.3">
      <c r="S5284" s="6"/>
    </row>
    <row r="5285" spans="19:19" x14ac:dyDescent="0.3">
      <c r="S5285" s="6"/>
    </row>
    <row r="5286" spans="19:19" x14ac:dyDescent="0.3">
      <c r="S5286" s="6"/>
    </row>
    <row r="5287" spans="19:19" x14ac:dyDescent="0.3">
      <c r="S5287" s="6"/>
    </row>
    <row r="5288" spans="19:19" x14ac:dyDescent="0.3">
      <c r="S5288" s="6"/>
    </row>
    <row r="5289" spans="19:19" x14ac:dyDescent="0.3">
      <c r="S5289" s="6"/>
    </row>
    <row r="5290" spans="19:19" x14ac:dyDescent="0.3">
      <c r="S5290" s="6"/>
    </row>
    <row r="5291" spans="19:19" x14ac:dyDescent="0.3">
      <c r="S5291" s="6"/>
    </row>
    <row r="5292" spans="19:19" x14ac:dyDescent="0.3">
      <c r="S5292" s="6"/>
    </row>
    <row r="5293" spans="19:19" x14ac:dyDescent="0.3">
      <c r="S5293" s="6"/>
    </row>
    <row r="5294" spans="19:19" x14ac:dyDescent="0.3">
      <c r="S5294" s="6"/>
    </row>
    <row r="5295" spans="19:19" x14ac:dyDescent="0.3">
      <c r="S5295" s="6"/>
    </row>
    <row r="5296" spans="19:19" x14ac:dyDescent="0.3">
      <c r="S5296" s="6"/>
    </row>
    <row r="5297" spans="19:19" x14ac:dyDescent="0.3">
      <c r="S5297" s="6"/>
    </row>
    <row r="5298" spans="19:19" x14ac:dyDescent="0.3">
      <c r="S5298" s="6"/>
    </row>
    <row r="5299" spans="19:19" x14ac:dyDescent="0.3">
      <c r="S5299" s="6"/>
    </row>
    <row r="5300" spans="19:19" x14ac:dyDescent="0.3">
      <c r="S5300" s="6"/>
    </row>
    <row r="5301" spans="19:19" x14ac:dyDescent="0.3">
      <c r="S5301" s="6"/>
    </row>
    <row r="5302" spans="19:19" x14ac:dyDescent="0.3">
      <c r="S5302" s="6"/>
    </row>
    <row r="5303" spans="19:19" x14ac:dyDescent="0.3">
      <c r="S5303" s="6"/>
    </row>
    <row r="5304" spans="19:19" x14ac:dyDescent="0.3">
      <c r="S5304" s="6"/>
    </row>
    <row r="5305" spans="19:19" x14ac:dyDescent="0.3">
      <c r="S5305" s="6"/>
    </row>
    <row r="5306" spans="19:19" x14ac:dyDescent="0.3">
      <c r="S5306" s="6"/>
    </row>
    <row r="5307" spans="19:19" x14ac:dyDescent="0.3">
      <c r="S5307" s="6"/>
    </row>
    <row r="5308" spans="19:19" x14ac:dyDescent="0.3">
      <c r="S5308" s="6"/>
    </row>
    <row r="5309" spans="19:19" x14ac:dyDescent="0.3">
      <c r="S5309" s="6"/>
    </row>
    <row r="5310" spans="19:19" x14ac:dyDescent="0.3">
      <c r="S5310" s="6"/>
    </row>
    <row r="5311" spans="19:19" x14ac:dyDescent="0.3">
      <c r="S5311" s="6"/>
    </row>
    <row r="5312" spans="19:19" x14ac:dyDescent="0.3">
      <c r="S5312" s="6"/>
    </row>
    <row r="5313" spans="19:19" x14ac:dyDescent="0.3">
      <c r="S5313" s="6"/>
    </row>
    <row r="5314" spans="19:19" x14ac:dyDescent="0.3">
      <c r="S5314" s="6"/>
    </row>
    <row r="5315" spans="19:19" x14ac:dyDescent="0.3">
      <c r="S5315" s="6"/>
    </row>
    <row r="5316" spans="19:19" x14ac:dyDescent="0.3">
      <c r="S5316" s="6"/>
    </row>
    <row r="5317" spans="19:19" x14ac:dyDescent="0.3">
      <c r="S5317" s="6"/>
    </row>
    <row r="5318" spans="19:19" x14ac:dyDescent="0.3">
      <c r="S5318" s="6"/>
    </row>
    <row r="5319" spans="19:19" x14ac:dyDescent="0.3">
      <c r="S5319" s="6"/>
    </row>
    <row r="5320" spans="19:19" x14ac:dyDescent="0.3">
      <c r="S5320" s="6"/>
    </row>
    <row r="5321" spans="19:19" x14ac:dyDescent="0.3">
      <c r="S5321" s="6"/>
    </row>
    <row r="5322" spans="19:19" x14ac:dyDescent="0.3">
      <c r="S5322" s="6"/>
    </row>
    <row r="5323" spans="19:19" x14ac:dyDescent="0.3">
      <c r="S5323" s="6"/>
    </row>
    <row r="5324" spans="19:19" x14ac:dyDescent="0.3">
      <c r="S5324" s="6"/>
    </row>
    <row r="5325" spans="19:19" x14ac:dyDescent="0.3">
      <c r="S5325" s="6"/>
    </row>
    <row r="5326" spans="19:19" x14ac:dyDescent="0.3">
      <c r="S5326" s="6"/>
    </row>
    <row r="5327" spans="19:19" x14ac:dyDescent="0.3">
      <c r="S5327" s="6"/>
    </row>
    <row r="5328" spans="19:19" x14ac:dyDescent="0.3">
      <c r="S5328" s="6"/>
    </row>
    <row r="5329" spans="19:19" x14ac:dyDescent="0.3">
      <c r="S5329" s="6"/>
    </row>
    <row r="5330" spans="19:19" x14ac:dyDescent="0.3">
      <c r="S5330" s="6"/>
    </row>
    <row r="5331" spans="19:19" x14ac:dyDescent="0.3">
      <c r="S5331" s="6"/>
    </row>
    <row r="5332" spans="19:19" x14ac:dyDescent="0.3">
      <c r="S5332" s="6"/>
    </row>
    <row r="5333" spans="19:19" x14ac:dyDescent="0.3">
      <c r="S5333" s="6"/>
    </row>
    <row r="5334" spans="19:19" x14ac:dyDescent="0.3">
      <c r="S5334" s="6"/>
    </row>
    <row r="5335" spans="19:19" x14ac:dyDescent="0.3">
      <c r="S5335" s="6"/>
    </row>
    <row r="5336" spans="19:19" x14ac:dyDescent="0.3">
      <c r="S5336" s="6"/>
    </row>
    <row r="5337" spans="19:19" x14ac:dyDescent="0.3">
      <c r="S5337" s="6"/>
    </row>
    <row r="5338" spans="19:19" x14ac:dyDescent="0.3">
      <c r="S5338" s="6"/>
    </row>
    <row r="5339" spans="19:19" x14ac:dyDescent="0.3">
      <c r="S5339" s="6"/>
    </row>
    <row r="5340" spans="19:19" x14ac:dyDescent="0.3">
      <c r="S5340" s="6"/>
    </row>
    <row r="5341" spans="19:19" x14ac:dyDescent="0.3">
      <c r="S5341" s="6"/>
    </row>
    <row r="5342" spans="19:19" x14ac:dyDescent="0.3">
      <c r="S5342" s="6"/>
    </row>
    <row r="5343" spans="19:19" x14ac:dyDescent="0.3">
      <c r="S5343" s="6"/>
    </row>
    <row r="5344" spans="19:19" x14ac:dyDescent="0.3">
      <c r="S5344" s="6"/>
    </row>
    <row r="5345" spans="19:19" x14ac:dyDescent="0.3">
      <c r="S5345" s="6"/>
    </row>
    <row r="5346" spans="19:19" x14ac:dyDescent="0.3">
      <c r="S5346" s="6"/>
    </row>
    <row r="5347" spans="19:19" x14ac:dyDescent="0.3">
      <c r="S5347" s="6"/>
    </row>
    <row r="5348" spans="19:19" x14ac:dyDescent="0.3">
      <c r="S5348" s="6"/>
    </row>
    <row r="5349" spans="19:19" x14ac:dyDescent="0.3">
      <c r="S5349" s="6"/>
    </row>
    <row r="5350" spans="19:19" x14ac:dyDescent="0.3">
      <c r="S5350" s="6"/>
    </row>
    <row r="5351" spans="19:19" x14ac:dyDescent="0.3">
      <c r="S5351" s="6"/>
    </row>
    <row r="5352" spans="19:19" x14ac:dyDescent="0.3">
      <c r="S5352" s="6"/>
    </row>
    <row r="5353" spans="19:19" x14ac:dyDescent="0.3">
      <c r="S5353" s="6"/>
    </row>
    <row r="5354" spans="19:19" x14ac:dyDescent="0.3">
      <c r="S5354" s="6"/>
    </row>
    <row r="5355" spans="19:19" x14ac:dyDescent="0.3">
      <c r="S5355" s="6"/>
    </row>
    <row r="5356" spans="19:19" x14ac:dyDescent="0.3">
      <c r="S5356" s="6"/>
    </row>
    <row r="5357" spans="19:19" x14ac:dyDescent="0.3">
      <c r="S5357" s="6"/>
    </row>
    <row r="5358" spans="19:19" x14ac:dyDescent="0.3">
      <c r="S5358" s="6"/>
    </row>
    <row r="5359" spans="19:19" x14ac:dyDescent="0.3">
      <c r="S5359" s="6"/>
    </row>
    <row r="5360" spans="19:19" x14ac:dyDescent="0.3">
      <c r="S5360" s="6"/>
    </row>
    <row r="5361" spans="19:19" x14ac:dyDescent="0.3">
      <c r="S5361" s="6"/>
    </row>
    <row r="5362" spans="19:19" x14ac:dyDescent="0.3">
      <c r="S5362" s="6"/>
    </row>
    <row r="5363" spans="19:19" x14ac:dyDescent="0.3">
      <c r="S5363" s="6"/>
    </row>
    <row r="5364" spans="19:19" x14ac:dyDescent="0.3">
      <c r="S5364" s="6"/>
    </row>
    <row r="5365" spans="19:19" x14ac:dyDescent="0.3">
      <c r="S5365" s="6"/>
    </row>
    <row r="5366" spans="19:19" x14ac:dyDescent="0.3">
      <c r="S5366" s="6"/>
    </row>
    <row r="5367" spans="19:19" x14ac:dyDescent="0.3">
      <c r="S5367" s="6"/>
    </row>
    <row r="5368" spans="19:19" x14ac:dyDescent="0.3">
      <c r="S5368" s="6"/>
    </row>
    <row r="5369" spans="19:19" x14ac:dyDescent="0.3">
      <c r="S5369" s="6"/>
    </row>
    <row r="5370" spans="19:19" x14ac:dyDescent="0.3">
      <c r="S5370" s="6"/>
    </row>
    <row r="5371" spans="19:19" x14ac:dyDescent="0.3">
      <c r="S5371" s="6"/>
    </row>
    <row r="5372" spans="19:19" x14ac:dyDescent="0.3">
      <c r="S5372" s="6"/>
    </row>
    <row r="5373" spans="19:19" x14ac:dyDescent="0.3">
      <c r="S5373" s="6"/>
    </row>
    <row r="5374" spans="19:19" x14ac:dyDescent="0.3">
      <c r="S5374" s="6"/>
    </row>
    <row r="5375" spans="19:19" x14ac:dyDescent="0.3">
      <c r="S5375" s="6"/>
    </row>
    <row r="5376" spans="19:19" x14ac:dyDescent="0.3">
      <c r="S5376" s="6"/>
    </row>
    <row r="5377" spans="19:19" x14ac:dyDescent="0.3">
      <c r="S5377" s="6"/>
    </row>
    <row r="5378" spans="19:19" x14ac:dyDescent="0.3">
      <c r="S5378" s="6"/>
    </row>
    <row r="5379" spans="19:19" x14ac:dyDescent="0.3">
      <c r="S5379" s="6"/>
    </row>
    <row r="5380" spans="19:19" x14ac:dyDescent="0.3">
      <c r="S5380" s="6"/>
    </row>
    <row r="5381" spans="19:19" x14ac:dyDescent="0.3">
      <c r="S5381" s="6"/>
    </row>
    <row r="5382" spans="19:19" x14ac:dyDescent="0.3">
      <c r="S5382" s="6"/>
    </row>
    <row r="5383" spans="19:19" x14ac:dyDescent="0.3">
      <c r="S5383" s="6"/>
    </row>
    <row r="5384" spans="19:19" x14ac:dyDescent="0.3">
      <c r="S5384" s="6"/>
    </row>
    <row r="5385" spans="19:19" x14ac:dyDescent="0.3">
      <c r="S5385" s="6"/>
    </row>
    <row r="5386" spans="19:19" x14ac:dyDescent="0.3">
      <c r="S5386" s="6"/>
    </row>
    <row r="5387" spans="19:19" x14ac:dyDescent="0.3">
      <c r="S5387" s="6"/>
    </row>
    <row r="5388" spans="19:19" x14ac:dyDescent="0.3">
      <c r="S5388" s="6"/>
    </row>
    <row r="5389" spans="19:19" x14ac:dyDescent="0.3">
      <c r="S5389" s="6"/>
    </row>
    <row r="5390" spans="19:19" x14ac:dyDescent="0.3">
      <c r="S5390" s="6"/>
    </row>
    <row r="5391" spans="19:19" x14ac:dyDescent="0.3">
      <c r="S5391" s="6"/>
    </row>
    <row r="5392" spans="19:19" x14ac:dyDescent="0.3">
      <c r="S5392" s="6"/>
    </row>
    <row r="5393" spans="19:19" x14ac:dyDescent="0.3">
      <c r="S5393" s="6"/>
    </row>
    <row r="5394" spans="19:19" x14ac:dyDescent="0.3">
      <c r="S5394" s="6"/>
    </row>
    <row r="5395" spans="19:19" x14ac:dyDescent="0.3">
      <c r="S5395" s="6"/>
    </row>
    <row r="5396" spans="19:19" x14ac:dyDescent="0.3">
      <c r="S5396" s="6"/>
    </row>
    <row r="5397" spans="19:19" x14ac:dyDescent="0.3">
      <c r="S5397" s="6"/>
    </row>
    <row r="5398" spans="19:19" x14ac:dyDescent="0.3">
      <c r="S5398" s="6"/>
    </row>
    <row r="5399" spans="19:19" x14ac:dyDescent="0.3">
      <c r="S5399" s="6"/>
    </row>
    <row r="5400" spans="19:19" x14ac:dyDescent="0.3">
      <c r="S5400" s="6"/>
    </row>
    <row r="5401" spans="19:19" x14ac:dyDescent="0.3">
      <c r="S5401" s="6"/>
    </row>
    <row r="5402" spans="19:19" x14ac:dyDescent="0.3">
      <c r="S5402" s="6"/>
    </row>
    <row r="5403" spans="19:19" x14ac:dyDescent="0.3">
      <c r="S5403" s="6"/>
    </row>
    <row r="5404" spans="19:19" x14ac:dyDescent="0.3">
      <c r="S5404" s="6"/>
    </row>
    <row r="5405" spans="19:19" x14ac:dyDescent="0.3">
      <c r="S5405" s="6"/>
    </row>
    <row r="5406" spans="19:19" x14ac:dyDescent="0.3">
      <c r="S5406" s="6"/>
    </row>
    <row r="5407" spans="19:19" x14ac:dyDescent="0.3">
      <c r="S5407" s="6"/>
    </row>
    <row r="5408" spans="19:19" x14ac:dyDescent="0.3">
      <c r="S5408" s="6"/>
    </row>
    <row r="5409" spans="19:19" x14ac:dyDescent="0.3">
      <c r="S5409" s="6"/>
    </row>
    <row r="5410" spans="19:19" x14ac:dyDescent="0.3">
      <c r="S5410" s="6"/>
    </row>
    <row r="5411" spans="19:19" x14ac:dyDescent="0.3">
      <c r="S5411" s="6"/>
    </row>
    <row r="5412" spans="19:19" x14ac:dyDescent="0.3">
      <c r="S5412" s="6"/>
    </row>
    <row r="5413" spans="19:19" x14ac:dyDescent="0.3">
      <c r="S5413" s="6"/>
    </row>
    <row r="5414" spans="19:19" x14ac:dyDescent="0.3">
      <c r="S5414" s="6"/>
    </row>
    <row r="5415" spans="19:19" x14ac:dyDescent="0.3">
      <c r="S5415" s="6"/>
    </row>
    <row r="5416" spans="19:19" x14ac:dyDescent="0.3">
      <c r="S5416" s="6"/>
    </row>
    <row r="5417" spans="19:19" x14ac:dyDescent="0.3">
      <c r="S5417" s="6"/>
    </row>
    <row r="5418" spans="19:19" x14ac:dyDescent="0.3">
      <c r="S5418" s="6"/>
    </row>
    <row r="5419" spans="19:19" x14ac:dyDescent="0.3">
      <c r="S5419" s="6"/>
    </row>
    <row r="5420" spans="19:19" x14ac:dyDescent="0.3">
      <c r="S5420" s="6"/>
    </row>
    <row r="5421" spans="19:19" x14ac:dyDescent="0.3">
      <c r="S5421" s="6"/>
    </row>
    <row r="5422" spans="19:19" x14ac:dyDescent="0.3">
      <c r="S5422" s="6"/>
    </row>
    <row r="5423" spans="19:19" x14ac:dyDescent="0.3">
      <c r="S5423" s="6"/>
    </row>
    <row r="5424" spans="19:19" x14ac:dyDescent="0.3">
      <c r="S5424" s="6"/>
    </row>
    <row r="5425" spans="19:19" x14ac:dyDescent="0.3">
      <c r="S5425" s="6"/>
    </row>
    <row r="5426" spans="19:19" x14ac:dyDescent="0.3">
      <c r="S5426" s="6"/>
    </row>
    <row r="5427" spans="19:19" x14ac:dyDescent="0.3">
      <c r="S5427" s="6"/>
    </row>
    <row r="5428" spans="19:19" x14ac:dyDescent="0.3">
      <c r="S5428" s="6"/>
    </row>
    <row r="5429" spans="19:19" x14ac:dyDescent="0.3">
      <c r="S5429" s="6"/>
    </row>
    <row r="5430" spans="19:19" x14ac:dyDescent="0.3">
      <c r="S5430" s="6"/>
    </row>
    <row r="5431" spans="19:19" x14ac:dyDescent="0.3">
      <c r="S5431" s="6"/>
    </row>
    <row r="5432" spans="19:19" x14ac:dyDescent="0.3">
      <c r="S5432" s="6"/>
    </row>
    <row r="5433" spans="19:19" x14ac:dyDescent="0.3">
      <c r="S5433" s="6"/>
    </row>
    <row r="5434" spans="19:19" x14ac:dyDescent="0.3">
      <c r="S5434" s="6"/>
    </row>
    <row r="5435" spans="19:19" x14ac:dyDescent="0.3">
      <c r="S5435" s="6"/>
    </row>
    <row r="5436" spans="19:19" x14ac:dyDescent="0.3">
      <c r="S5436" s="6"/>
    </row>
    <row r="5437" spans="19:19" x14ac:dyDescent="0.3">
      <c r="S5437" s="6"/>
    </row>
    <row r="5438" spans="19:19" x14ac:dyDescent="0.3">
      <c r="S5438" s="6"/>
    </row>
    <row r="5439" spans="19:19" x14ac:dyDescent="0.3">
      <c r="S5439" s="6"/>
    </row>
    <row r="5440" spans="19:19" x14ac:dyDescent="0.3">
      <c r="S5440" s="6"/>
    </row>
    <row r="5441" spans="19:19" x14ac:dyDescent="0.3">
      <c r="S5441" s="6"/>
    </row>
    <row r="5442" spans="19:19" x14ac:dyDescent="0.3">
      <c r="S5442" s="6"/>
    </row>
    <row r="5443" spans="19:19" x14ac:dyDescent="0.3">
      <c r="S5443" s="6"/>
    </row>
    <row r="5444" spans="19:19" x14ac:dyDescent="0.3">
      <c r="S5444" s="6"/>
    </row>
    <row r="5445" spans="19:19" x14ac:dyDescent="0.3">
      <c r="S5445" s="6"/>
    </row>
    <row r="5446" spans="19:19" x14ac:dyDescent="0.3">
      <c r="S5446" s="6"/>
    </row>
    <row r="5447" spans="19:19" x14ac:dyDescent="0.3">
      <c r="S5447" s="6"/>
    </row>
    <row r="5448" spans="19:19" x14ac:dyDescent="0.3">
      <c r="S5448" s="6"/>
    </row>
    <row r="5449" spans="19:19" x14ac:dyDescent="0.3">
      <c r="S5449" s="6"/>
    </row>
    <row r="5450" spans="19:19" x14ac:dyDescent="0.3">
      <c r="S5450" s="6"/>
    </row>
    <row r="5451" spans="19:19" x14ac:dyDescent="0.3">
      <c r="S5451" s="6"/>
    </row>
    <row r="5452" spans="19:19" x14ac:dyDescent="0.3">
      <c r="S5452" s="6"/>
    </row>
    <row r="5453" spans="19:19" x14ac:dyDescent="0.3">
      <c r="S5453" s="6"/>
    </row>
    <row r="5454" spans="19:19" x14ac:dyDescent="0.3">
      <c r="S5454" s="6"/>
    </row>
    <row r="5455" spans="19:19" x14ac:dyDescent="0.3">
      <c r="S5455" s="6"/>
    </row>
    <row r="5456" spans="19:19" x14ac:dyDescent="0.3">
      <c r="S5456" s="6"/>
    </row>
    <row r="5457" spans="19:19" x14ac:dyDescent="0.3">
      <c r="S5457" s="6"/>
    </row>
    <row r="5458" spans="19:19" x14ac:dyDescent="0.3">
      <c r="S5458" s="6"/>
    </row>
    <row r="5459" spans="19:19" x14ac:dyDescent="0.3">
      <c r="S5459" s="6"/>
    </row>
    <row r="5460" spans="19:19" x14ac:dyDescent="0.3">
      <c r="S5460" s="6"/>
    </row>
    <row r="5461" spans="19:19" x14ac:dyDescent="0.3">
      <c r="S5461" s="6"/>
    </row>
    <row r="5462" spans="19:19" x14ac:dyDescent="0.3">
      <c r="S5462" s="6"/>
    </row>
    <row r="5463" spans="19:19" x14ac:dyDescent="0.3">
      <c r="S5463" s="6"/>
    </row>
    <row r="5464" spans="19:19" x14ac:dyDescent="0.3">
      <c r="S5464" s="6"/>
    </row>
    <row r="5465" spans="19:19" x14ac:dyDescent="0.3">
      <c r="S5465" s="6"/>
    </row>
    <row r="5466" spans="19:19" x14ac:dyDescent="0.3">
      <c r="S5466" s="6"/>
    </row>
    <row r="5467" spans="19:19" x14ac:dyDescent="0.3">
      <c r="S5467" s="6"/>
    </row>
    <row r="5468" spans="19:19" x14ac:dyDescent="0.3">
      <c r="S5468" s="6"/>
    </row>
    <row r="5469" spans="19:19" x14ac:dyDescent="0.3">
      <c r="S5469" s="6"/>
    </row>
    <row r="5470" spans="19:19" x14ac:dyDescent="0.3">
      <c r="S5470" s="6"/>
    </row>
    <row r="5471" spans="19:19" x14ac:dyDescent="0.3">
      <c r="S5471" s="6"/>
    </row>
    <row r="5472" spans="19:19" x14ac:dyDescent="0.3">
      <c r="S5472" s="6"/>
    </row>
    <row r="5473" spans="19:19" x14ac:dyDescent="0.3">
      <c r="S5473" s="6"/>
    </row>
    <row r="5474" spans="19:19" x14ac:dyDescent="0.3">
      <c r="S5474" s="6"/>
    </row>
    <row r="5475" spans="19:19" x14ac:dyDescent="0.3">
      <c r="S5475" s="6"/>
    </row>
    <row r="5476" spans="19:19" x14ac:dyDescent="0.3">
      <c r="S5476" s="6"/>
    </row>
    <row r="5477" spans="19:19" x14ac:dyDescent="0.3">
      <c r="S5477" s="6"/>
    </row>
    <row r="5478" spans="19:19" x14ac:dyDescent="0.3">
      <c r="S5478" s="6"/>
    </row>
    <row r="5479" spans="19:19" x14ac:dyDescent="0.3">
      <c r="S5479" s="6"/>
    </row>
    <row r="5480" spans="19:19" x14ac:dyDescent="0.3">
      <c r="S5480" s="6"/>
    </row>
    <row r="5481" spans="19:19" x14ac:dyDescent="0.3">
      <c r="S5481" s="6"/>
    </row>
    <row r="5482" spans="19:19" x14ac:dyDescent="0.3">
      <c r="S5482" s="6"/>
    </row>
    <row r="5483" spans="19:19" x14ac:dyDescent="0.3">
      <c r="S5483" s="6"/>
    </row>
    <row r="5484" spans="19:19" x14ac:dyDescent="0.3">
      <c r="S5484" s="6"/>
    </row>
    <row r="5485" spans="19:19" x14ac:dyDescent="0.3">
      <c r="S5485" s="6"/>
    </row>
    <row r="5486" spans="19:19" x14ac:dyDescent="0.3">
      <c r="S5486" s="6"/>
    </row>
    <row r="5487" spans="19:19" x14ac:dyDescent="0.3">
      <c r="S5487" s="6"/>
    </row>
    <row r="5488" spans="19:19" x14ac:dyDescent="0.3">
      <c r="S5488" s="6"/>
    </row>
    <row r="5489" spans="19:19" x14ac:dyDescent="0.3">
      <c r="S5489" s="6"/>
    </row>
    <row r="5490" spans="19:19" x14ac:dyDescent="0.3">
      <c r="S5490" s="6"/>
    </row>
    <row r="5491" spans="19:19" x14ac:dyDescent="0.3">
      <c r="S5491" s="6"/>
    </row>
    <row r="5492" spans="19:19" x14ac:dyDescent="0.3">
      <c r="S5492" s="6"/>
    </row>
    <row r="5493" spans="19:19" x14ac:dyDescent="0.3">
      <c r="S5493" s="6"/>
    </row>
    <row r="5494" spans="19:19" x14ac:dyDescent="0.3">
      <c r="S5494" s="6"/>
    </row>
    <row r="5495" spans="19:19" x14ac:dyDescent="0.3">
      <c r="S5495" s="6"/>
    </row>
    <row r="5496" spans="19:19" x14ac:dyDescent="0.3">
      <c r="S5496" s="6"/>
    </row>
    <row r="5497" spans="19:19" x14ac:dyDescent="0.3">
      <c r="S5497" s="6"/>
    </row>
    <row r="5498" spans="19:19" x14ac:dyDescent="0.3">
      <c r="S5498" s="6"/>
    </row>
    <row r="5499" spans="19:19" x14ac:dyDescent="0.3">
      <c r="S5499" s="6"/>
    </row>
    <row r="5500" spans="19:19" x14ac:dyDescent="0.3">
      <c r="S5500" s="6"/>
    </row>
    <row r="5501" spans="19:19" x14ac:dyDescent="0.3">
      <c r="S5501" s="6"/>
    </row>
    <row r="5502" spans="19:19" x14ac:dyDescent="0.3">
      <c r="S5502" s="6"/>
    </row>
    <row r="5503" spans="19:19" x14ac:dyDescent="0.3">
      <c r="S5503" s="6"/>
    </row>
    <row r="5504" spans="19:19" x14ac:dyDescent="0.3">
      <c r="S5504" s="6"/>
    </row>
    <row r="5505" spans="19:19" x14ac:dyDescent="0.3">
      <c r="S5505" s="6"/>
    </row>
    <row r="5506" spans="19:19" x14ac:dyDescent="0.3">
      <c r="S5506" s="6"/>
    </row>
    <row r="5507" spans="19:19" x14ac:dyDescent="0.3">
      <c r="S5507" s="6"/>
    </row>
    <row r="5508" spans="19:19" x14ac:dyDescent="0.3">
      <c r="S5508" s="6"/>
    </row>
    <row r="5509" spans="19:19" x14ac:dyDescent="0.3">
      <c r="S5509" s="6"/>
    </row>
    <row r="5510" spans="19:19" x14ac:dyDescent="0.3">
      <c r="S5510" s="6"/>
    </row>
    <row r="5511" spans="19:19" x14ac:dyDescent="0.3">
      <c r="S5511" s="6"/>
    </row>
    <row r="5512" spans="19:19" x14ac:dyDescent="0.3">
      <c r="S5512" s="6"/>
    </row>
    <row r="5513" spans="19:19" x14ac:dyDescent="0.3">
      <c r="S5513" s="6"/>
    </row>
    <row r="5514" spans="19:19" x14ac:dyDescent="0.3">
      <c r="S5514" s="6"/>
    </row>
    <row r="5515" spans="19:19" x14ac:dyDescent="0.3">
      <c r="S5515" s="6"/>
    </row>
    <row r="5516" spans="19:19" x14ac:dyDescent="0.3">
      <c r="S5516" s="6"/>
    </row>
    <row r="5517" spans="19:19" x14ac:dyDescent="0.3">
      <c r="S5517" s="6"/>
    </row>
    <row r="5518" spans="19:19" x14ac:dyDescent="0.3">
      <c r="S5518" s="6"/>
    </row>
    <row r="5519" spans="19:19" x14ac:dyDescent="0.3">
      <c r="S5519" s="6"/>
    </row>
    <row r="5520" spans="19:19" x14ac:dyDescent="0.3">
      <c r="S5520" s="6"/>
    </row>
    <row r="5521" spans="19:19" x14ac:dyDescent="0.3">
      <c r="S5521" s="6"/>
    </row>
    <row r="5522" spans="19:19" x14ac:dyDescent="0.3">
      <c r="S5522" s="6"/>
    </row>
    <row r="5523" spans="19:19" x14ac:dyDescent="0.3">
      <c r="S5523" s="6"/>
    </row>
    <row r="5524" spans="19:19" x14ac:dyDescent="0.3">
      <c r="S5524" s="6"/>
    </row>
    <row r="5525" spans="19:19" x14ac:dyDescent="0.3">
      <c r="S5525" s="6"/>
    </row>
    <row r="5526" spans="19:19" x14ac:dyDescent="0.3">
      <c r="S5526" s="6"/>
    </row>
    <row r="5527" spans="19:19" x14ac:dyDescent="0.3">
      <c r="S5527" s="6"/>
    </row>
    <row r="5528" spans="19:19" x14ac:dyDescent="0.3">
      <c r="S5528" s="6"/>
    </row>
    <row r="5529" spans="19:19" x14ac:dyDescent="0.3">
      <c r="S5529" s="6"/>
    </row>
    <row r="5530" spans="19:19" x14ac:dyDescent="0.3">
      <c r="S5530" s="6"/>
    </row>
    <row r="5531" spans="19:19" x14ac:dyDescent="0.3">
      <c r="S5531" s="6"/>
    </row>
    <row r="5532" spans="19:19" x14ac:dyDescent="0.3">
      <c r="S5532" s="6"/>
    </row>
    <row r="5533" spans="19:19" x14ac:dyDescent="0.3">
      <c r="S5533" s="6"/>
    </row>
    <row r="5534" spans="19:19" x14ac:dyDescent="0.3">
      <c r="S5534" s="6"/>
    </row>
    <row r="5535" spans="19:19" x14ac:dyDescent="0.3">
      <c r="S5535" s="6"/>
    </row>
    <row r="5536" spans="19:19" x14ac:dyDescent="0.3">
      <c r="S5536" s="6"/>
    </row>
    <row r="5537" spans="19:19" x14ac:dyDescent="0.3">
      <c r="S5537" s="6"/>
    </row>
    <row r="5538" spans="19:19" x14ac:dyDescent="0.3">
      <c r="S5538" s="6"/>
    </row>
    <row r="5539" spans="19:19" x14ac:dyDescent="0.3">
      <c r="S5539" s="6"/>
    </row>
    <row r="5540" spans="19:19" x14ac:dyDescent="0.3">
      <c r="S5540" s="6"/>
    </row>
    <row r="5541" spans="19:19" x14ac:dyDescent="0.3">
      <c r="S5541" s="6"/>
    </row>
    <row r="5542" spans="19:19" x14ac:dyDescent="0.3">
      <c r="S5542" s="6"/>
    </row>
    <row r="5543" spans="19:19" x14ac:dyDescent="0.3">
      <c r="S5543" s="6"/>
    </row>
    <row r="5544" spans="19:19" x14ac:dyDescent="0.3">
      <c r="S5544" s="6"/>
    </row>
    <row r="5545" spans="19:19" x14ac:dyDescent="0.3">
      <c r="S5545" s="6"/>
    </row>
    <row r="5546" spans="19:19" x14ac:dyDescent="0.3">
      <c r="S5546" s="6"/>
    </row>
    <row r="5547" spans="19:19" x14ac:dyDescent="0.3">
      <c r="S5547" s="6"/>
    </row>
    <row r="5548" spans="19:19" x14ac:dyDescent="0.3">
      <c r="S5548" s="6"/>
    </row>
    <row r="5549" spans="19:19" x14ac:dyDescent="0.3">
      <c r="S5549" s="6"/>
    </row>
    <row r="5550" spans="19:19" x14ac:dyDescent="0.3">
      <c r="S5550" s="6"/>
    </row>
    <row r="5551" spans="19:19" x14ac:dyDescent="0.3">
      <c r="S5551" s="6"/>
    </row>
    <row r="5552" spans="19:19" x14ac:dyDescent="0.3">
      <c r="S5552" s="6"/>
    </row>
    <row r="5553" spans="19:19" x14ac:dyDescent="0.3">
      <c r="S5553" s="6"/>
    </row>
    <row r="5554" spans="19:19" x14ac:dyDescent="0.3">
      <c r="S5554" s="6"/>
    </row>
    <row r="5555" spans="19:19" x14ac:dyDescent="0.3">
      <c r="S5555" s="6"/>
    </row>
    <row r="5556" spans="19:19" x14ac:dyDescent="0.3">
      <c r="S5556" s="6"/>
    </row>
    <row r="5557" spans="19:19" x14ac:dyDescent="0.3">
      <c r="S5557" s="6"/>
    </row>
    <row r="5558" spans="19:19" x14ac:dyDescent="0.3">
      <c r="S5558" s="6"/>
    </row>
    <row r="5559" spans="19:19" x14ac:dyDescent="0.3">
      <c r="S5559" s="6"/>
    </row>
    <row r="5560" spans="19:19" x14ac:dyDescent="0.3">
      <c r="S5560" s="6"/>
    </row>
    <row r="5561" spans="19:19" x14ac:dyDescent="0.3">
      <c r="S5561" s="6"/>
    </row>
    <row r="5562" spans="19:19" x14ac:dyDescent="0.3">
      <c r="S5562" s="6"/>
    </row>
    <row r="5563" spans="19:19" x14ac:dyDescent="0.3">
      <c r="S5563" s="6"/>
    </row>
    <row r="5564" spans="19:19" x14ac:dyDescent="0.3">
      <c r="S5564" s="6"/>
    </row>
    <row r="5565" spans="19:19" x14ac:dyDescent="0.3">
      <c r="S5565" s="6"/>
    </row>
    <row r="5566" spans="19:19" x14ac:dyDescent="0.3">
      <c r="S5566" s="6"/>
    </row>
    <row r="5567" spans="19:19" x14ac:dyDescent="0.3">
      <c r="S5567" s="6"/>
    </row>
    <row r="5568" spans="19:19" x14ac:dyDescent="0.3">
      <c r="S5568" s="6"/>
    </row>
    <row r="5569" spans="19:19" x14ac:dyDescent="0.3">
      <c r="S5569" s="6"/>
    </row>
    <row r="5570" spans="19:19" x14ac:dyDescent="0.3">
      <c r="S5570" s="6"/>
    </row>
    <row r="5571" spans="19:19" x14ac:dyDescent="0.3">
      <c r="S5571" s="6"/>
    </row>
    <row r="5572" spans="19:19" x14ac:dyDescent="0.3">
      <c r="S5572" s="6"/>
    </row>
    <row r="5573" spans="19:19" x14ac:dyDescent="0.3">
      <c r="S5573" s="6"/>
    </row>
    <row r="5574" spans="19:19" x14ac:dyDescent="0.3">
      <c r="S5574" s="6"/>
    </row>
    <row r="5575" spans="19:19" x14ac:dyDescent="0.3">
      <c r="S5575" s="6"/>
    </row>
    <row r="5576" spans="19:19" x14ac:dyDescent="0.3">
      <c r="S5576" s="6"/>
    </row>
    <row r="5577" spans="19:19" x14ac:dyDescent="0.3">
      <c r="S5577" s="6"/>
    </row>
    <row r="5578" spans="19:19" x14ac:dyDescent="0.3">
      <c r="S5578" s="6"/>
    </row>
    <row r="5579" spans="19:19" x14ac:dyDescent="0.3">
      <c r="S5579" s="6"/>
    </row>
    <row r="5580" spans="19:19" x14ac:dyDescent="0.3">
      <c r="S5580" s="6"/>
    </row>
    <row r="5581" spans="19:19" x14ac:dyDescent="0.3">
      <c r="S5581" s="6"/>
    </row>
    <row r="5582" spans="19:19" x14ac:dyDescent="0.3">
      <c r="S5582" s="6"/>
    </row>
    <row r="5583" spans="19:19" x14ac:dyDescent="0.3">
      <c r="S5583" s="6"/>
    </row>
    <row r="5584" spans="19:19" x14ac:dyDescent="0.3">
      <c r="S5584" s="6"/>
    </row>
    <row r="5585" spans="19:19" x14ac:dyDescent="0.3">
      <c r="S5585" s="6"/>
    </row>
    <row r="5586" spans="19:19" x14ac:dyDescent="0.3">
      <c r="S5586" s="6"/>
    </row>
    <row r="5587" spans="19:19" x14ac:dyDescent="0.3">
      <c r="S5587" s="6"/>
    </row>
    <row r="5588" spans="19:19" x14ac:dyDescent="0.3">
      <c r="S5588" s="6"/>
    </row>
    <row r="5589" spans="19:19" x14ac:dyDescent="0.3">
      <c r="S5589" s="6"/>
    </row>
    <row r="5590" spans="19:19" x14ac:dyDescent="0.3">
      <c r="S5590" s="6"/>
    </row>
    <row r="5591" spans="19:19" x14ac:dyDescent="0.3">
      <c r="S5591" s="6"/>
    </row>
    <row r="5592" spans="19:19" x14ac:dyDescent="0.3">
      <c r="S5592" s="6"/>
    </row>
    <row r="5593" spans="19:19" x14ac:dyDescent="0.3">
      <c r="S5593" s="6"/>
    </row>
    <row r="5594" spans="19:19" x14ac:dyDescent="0.3">
      <c r="S5594" s="6"/>
    </row>
    <row r="5595" spans="19:19" x14ac:dyDescent="0.3">
      <c r="S5595" s="6"/>
    </row>
    <row r="5596" spans="19:19" x14ac:dyDescent="0.3">
      <c r="S5596" s="6"/>
    </row>
    <row r="5597" spans="19:19" x14ac:dyDescent="0.3">
      <c r="S5597" s="6"/>
    </row>
    <row r="5598" spans="19:19" x14ac:dyDescent="0.3">
      <c r="S5598" s="6"/>
    </row>
    <row r="5599" spans="19:19" x14ac:dyDescent="0.3">
      <c r="S5599" s="6"/>
    </row>
    <row r="5600" spans="19:19" x14ac:dyDescent="0.3">
      <c r="S5600" s="6"/>
    </row>
    <row r="5601" spans="19:19" x14ac:dyDescent="0.3">
      <c r="S5601" s="6"/>
    </row>
    <row r="5602" spans="19:19" x14ac:dyDescent="0.3">
      <c r="S5602" s="6"/>
    </row>
    <row r="5603" spans="19:19" x14ac:dyDescent="0.3">
      <c r="S5603" s="6"/>
    </row>
    <row r="5604" spans="19:19" x14ac:dyDescent="0.3">
      <c r="S5604" s="6"/>
    </row>
    <row r="5605" spans="19:19" x14ac:dyDescent="0.3">
      <c r="S5605" s="6"/>
    </row>
    <row r="5606" spans="19:19" x14ac:dyDescent="0.3">
      <c r="S5606" s="6"/>
    </row>
    <row r="5607" spans="19:19" x14ac:dyDescent="0.3">
      <c r="S5607" s="6"/>
    </row>
    <row r="5608" spans="19:19" x14ac:dyDescent="0.3">
      <c r="S5608" s="6"/>
    </row>
    <row r="5609" spans="19:19" x14ac:dyDescent="0.3">
      <c r="S5609" s="6"/>
    </row>
    <row r="5610" spans="19:19" x14ac:dyDescent="0.3">
      <c r="S5610" s="6"/>
    </row>
    <row r="5611" spans="19:19" x14ac:dyDescent="0.3">
      <c r="S5611" s="6"/>
    </row>
    <row r="5612" spans="19:19" x14ac:dyDescent="0.3">
      <c r="S5612" s="6"/>
    </row>
    <row r="5613" spans="19:19" x14ac:dyDescent="0.3">
      <c r="S5613" s="6"/>
    </row>
    <row r="5614" spans="19:19" x14ac:dyDescent="0.3">
      <c r="S5614" s="6"/>
    </row>
    <row r="5615" spans="19:19" x14ac:dyDescent="0.3">
      <c r="S5615" s="6"/>
    </row>
    <row r="5616" spans="19:19" x14ac:dyDescent="0.3">
      <c r="S5616" s="6"/>
    </row>
    <row r="5617" spans="19:19" x14ac:dyDescent="0.3">
      <c r="S5617" s="6"/>
    </row>
    <row r="5618" spans="19:19" x14ac:dyDescent="0.3">
      <c r="S5618" s="6"/>
    </row>
    <row r="5619" spans="19:19" x14ac:dyDescent="0.3">
      <c r="S5619" s="6"/>
    </row>
    <row r="5620" spans="19:19" x14ac:dyDescent="0.3">
      <c r="S5620" s="6"/>
    </row>
    <row r="5621" spans="19:19" x14ac:dyDescent="0.3">
      <c r="S5621" s="6"/>
    </row>
    <row r="5622" spans="19:19" x14ac:dyDescent="0.3">
      <c r="S5622" s="6"/>
    </row>
    <row r="5623" spans="19:19" x14ac:dyDescent="0.3">
      <c r="S5623" s="6"/>
    </row>
    <row r="5624" spans="19:19" x14ac:dyDescent="0.3">
      <c r="S5624" s="6"/>
    </row>
    <row r="5625" spans="19:19" x14ac:dyDescent="0.3">
      <c r="S5625" s="6"/>
    </row>
    <row r="5626" spans="19:19" x14ac:dyDescent="0.3">
      <c r="S5626" s="6"/>
    </row>
    <row r="5627" spans="19:19" x14ac:dyDescent="0.3">
      <c r="S5627" s="6"/>
    </row>
    <row r="5628" spans="19:19" x14ac:dyDescent="0.3">
      <c r="S5628" s="6"/>
    </row>
    <row r="5629" spans="19:19" x14ac:dyDescent="0.3">
      <c r="S5629" s="6"/>
    </row>
    <row r="5630" spans="19:19" x14ac:dyDescent="0.3">
      <c r="S5630" s="6"/>
    </row>
    <row r="5631" spans="19:19" x14ac:dyDescent="0.3">
      <c r="S5631" s="6"/>
    </row>
    <row r="5632" spans="19:19" x14ac:dyDescent="0.3">
      <c r="S5632" s="6"/>
    </row>
    <row r="5633" spans="19:19" x14ac:dyDescent="0.3">
      <c r="S5633" s="6"/>
    </row>
    <row r="5634" spans="19:19" x14ac:dyDescent="0.3">
      <c r="S5634" s="6"/>
    </row>
    <row r="5635" spans="19:19" x14ac:dyDescent="0.3">
      <c r="S5635" s="6"/>
    </row>
    <row r="5636" spans="19:19" x14ac:dyDescent="0.3">
      <c r="S5636" s="6"/>
    </row>
    <row r="5637" spans="19:19" x14ac:dyDescent="0.3">
      <c r="S5637" s="6"/>
    </row>
    <row r="5638" spans="19:19" x14ac:dyDescent="0.3">
      <c r="S5638" s="6"/>
    </row>
    <row r="5639" spans="19:19" x14ac:dyDescent="0.3">
      <c r="S5639" s="6"/>
    </row>
    <row r="5640" spans="19:19" x14ac:dyDescent="0.3">
      <c r="S5640" s="6"/>
    </row>
    <row r="5641" spans="19:19" x14ac:dyDescent="0.3">
      <c r="S5641" s="6"/>
    </row>
    <row r="5642" spans="19:19" x14ac:dyDescent="0.3">
      <c r="S5642" s="6"/>
    </row>
    <row r="5643" spans="19:19" x14ac:dyDescent="0.3">
      <c r="S5643" s="6"/>
    </row>
    <row r="5644" spans="19:19" x14ac:dyDescent="0.3">
      <c r="S5644" s="6"/>
    </row>
    <row r="5645" spans="19:19" x14ac:dyDescent="0.3">
      <c r="S5645" s="6"/>
    </row>
    <row r="5646" spans="19:19" x14ac:dyDescent="0.3">
      <c r="S5646" s="6"/>
    </row>
    <row r="5647" spans="19:19" x14ac:dyDescent="0.3">
      <c r="S5647" s="6"/>
    </row>
    <row r="5648" spans="19:19" x14ac:dyDescent="0.3">
      <c r="S5648" s="6"/>
    </row>
    <row r="5649" spans="19:19" x14ac:dyDescent="0.3">
      <c r="S5649" s="6"/>
    </row>
    <row r="5650" spans="19:19" x14ac:dyDescent="0.3">
      <c r="S5650" s="6"/>
    </row>
    <row r="5651" spans="19:19" x14ac:dyDescent="0.3">
      <c r="S5651" s="6"/>
    </row>
    <row r="5652" spans="19:19" x14ac:dyDescent="0.3">
      <c r="S5652" s="6"/>
    </row>
    <row r="5653" spans="19:19" x14ac:dyDescent="0.3">
      <c r="S5653" s="6"/>
    </row>
    <row r="5654" spans="19:19" x14ac:dyDescent="0.3">
      <c r="S5654" s="6"/>
    </row>
    <row r="5655" spans="19:19" x14ac:dyDescent="0.3">
      <c r="S5655" s="6"/>
    </row>
    <row r="5656" spans="19:19" x14ac:dyDescent="0.3">
      <c r="S5656" s="6"/>
    </row>
    <row r="5657" spans="19:19" x14ac:dyDescent="0.3">
      <c r="S5657" s="6"/>
    </row>
    <row r="5658" spans="19:19" x14ac:dyDescent="0.3">
      <c r="S5658" s="6"/>
    </row>
    <row r="5659" spans="19:19" x14ac:dyDescent="0.3">
      <c r="S5659" s="6"/>
    </row>
    <row r="5660" spans="19:19" x14ac:dyDescent="0.3">
      <c r="S5660" s="6"/>
    </row>
    <row r="5661" spans="19:19" x14ac:dyDescent="0.3">
      <c r="S5661" s="6"/>
    </row>
    <row r="5662" spans="19:19" x14ac:dyDescent="0.3">
      <c r="S5662" s="6"/>
    </row>
    <row r="5663" spans="19:19" x14ac:dyDescent="0.3">
      <c r="S5663" s="6"/>
    </row>
    <row r="5664" spans="19:19" x14ac:dyDescent="0.3">
      <c r="S5664" s="6"/>
    </row>
    <row r="5665" spans="19:19" x14ac:dyDescent="0.3">
      <c r="S5665" s="6"/>
    </row>
    <row r="5666" spans="19:19" x14ac:dyDescent="0.3">
      <c r="S5666" s="6"/>
    </row>
    <row r="5667" spans="19:19" x14ac:dyDescent="0.3">
      <c r="S5667" s="6"/>
    </row>
    <row r="5668" spans="19:19" x14ac:dyDescent="0.3">
      <c r="S5668" s="6"/>
    </row>
    <row r="5669" spans="19:19" x14ac:dyDescent="0.3">
      <c r="S5669" s="6"/>
    </row>
    <row r="5670" spans="19:19" x14ac:dyDescent="0.3">
      <c r="S5670" s="6"/>
    </row>
    <row r="5671" spans="19:19" x14ac:dyDescent="0.3">
      <c r="S5671" s="6"/>
    </row>
    <row r="5672" spans="19:19" x14ac:dyDescent="0.3">
      <c r="S5672" s="6"/>
    </row>
    <row r="5673" spans="19:19" x14ac:dyDescent="0.3">
      <c r="S5673" s="6"/>
    </row>
    <row r="5674" spans="19:19" x14ac:dyDescent="0.3">
      <c r="S5674" s="6"/>
    </row>
    <row r="5675" spans="19:19" x14ac:dyDescent="0.3">
      <c r="S5675" s="6"/>
    </row>
    <row r="5676" spans="19:19" x14ac:dyDescent="0.3">
      <c r="S5676" s="6"/>
    </row>
    <row r="5677" spans="19:19" x14ac:dyDescent="0.3">
      <c r="S5677" s="6"/>
    </row>
    <row r="5678" spans="19:19" x14ac:dyDescent="0.3">
      <c r="S5678" s="6"/>
    </row>
    <row r="5679" spans="19:19" x14ac:dyDescent="0.3">
      <c r="S5679" s="6"/>
    </row>
    <row r="5680" spans="19:19" x14ac:dyDescent="0.3">
      <c r="S5680" s="6"/>
    </row>
    <row r="5681" spans="19:19" x14ac:dyDescent="0.3">
      <c r="S5681" s="6"/>
    </row>
    <row r="5682" spans="19:19" x14ac:dyDescent="0.3">
      <c r="S5682" s="6"/>
    </row>
    <row r="5683" spans="19:19" x14ac:dyDescent="0.3">
      <c r="S5683" s="6"/>
    </row>
    <row r="5684" spans="19:19" x14ac:dyDescent="0.3">
      <c r="S5684" s="6"/>
    </row>
    <row r="5685" spans="19:19" x14ac:dyDescent="0.3">
      <c r="S5685" s="6"/>
    </row>
    <row r="5686" spans="19:19" x14ac:dyDescent="0.3">
      <c r="S5686" s="6"/>
    </row>
    <row r="5687" spans="19:19" x14ac:dyDescent="0.3">
      <c r="S5687" s="6"/>
    </row>
    <row r="5688" spans="19:19" x14ac:dyDescent="0.3">
      <c r="S5688" s="6"/>
    </row>
    <row r="5689" spans="19:19" x14ac:dyDescent="0.3">
      <c r="S5689" s="6"/>
    </row>
    <row r="5690" spans="19:19" x14ac:dyDescent="0.3">
      <c r="S5690" s="6"/>
    </row>
    <row r="5691" spans="19:19" x14ac:dyDescent="0.3">
      <c r="S5691" s="6"/>
    </row>
    <row r="5692" spans="19:19" x14ac:dyDescent="0.3">
      <c r="S5692" s="6"/>
    </row>
    <row r="5693" spans="19:19" x14ac:dyDescent="0.3">
      <c r="S5693" s="6"/>
    </row>
    <row r="5694" spans="19:19" x14ac:dyDescent="0.3">
      <c r="S5694" s="6"/>
    </row>
    <row r="5695" spans="19:19" x14ac:dyDescent="0.3">
      <c r="S5695" s="6"/>
    </row>
    <row r="5696" spans="19:19" x14ac:dyDescent="0.3">
      <c r="S5696" s="6"/>
    </row>
    <row r="5697" spans="19:19" x14ac:dyDescent="0.3">
      <c r="S5697" s="6"/>
    </row>
    <row r="5698" spans="19:19" x14ac:dyDescent="0.3">
      <c r="S5698" s="6"/>
    </row>
    <row r="5699" spans="19:19" x14ac:dyDescent="0.3">
      <c r="S5699" s="6"/>
    </row>
    <row r="5700" spans="19:19" x14ac:dyDescent="0.3">
      <c r="S5700" s="6"/>
    </row>
    <row r="5701" spans="19:19" x14ac:dyDescent="0.3">
      <c r="S5701" s="6"/>
    </row>
    <row r="5702" spans="19:19" x14ac:dyDescent="0.3">
      <c r="S5702" s="6"/>
    </row>
    <row r="5703" spans="19:19" x14ac:dyDescent="0.3">
      <c r="S5703" s="6"/>
    </row>
    <row r="5704" spans="19:19" x14ac:dyDescent="0.3">
      <c r="S5704" s="6"/>
    </row>
    <row r="5705" spans="19:19" x14ac:dyDescent="0.3">
      <c r="S5705" s="6"/>
    </row>
    <row r="5706" spans="19:19" x14ac:dyDescent="0.3">
      <c r="S5706" s="6"/>
    </row>
    <row r="5707" spans="19:19" x14ac:dyDescent="0.3">
      <c r="S5707" s="6"/>
    </row>
    <row r="5708" spans="19:19" x14ac:dyDescent="0.3">
      <c r="S5708" s="6"/>
    </row>
    <row r="5709" spans="19:19" x14ac:dyDescent="0.3">
      <c r="S5709" s="6"/>
    </row>
    <row r="5710" spans="19:19" x14ac:dyDescent="0.3">
      <c r="S5710" s="6"/>
    </row>
    <row r="5711" spans="19:19" x14ac:dyDescent="0.3">
      <c r="S5711" s="6"/>
    </row>
    <row r="5712" spans="19:19" x14ac:dyDescent="0.3">
      <c r="S5712" s="6"/>
    </row>
    <row r="5713" spans="19:19" x14ac:dyDescent="0.3">
      <c r="S5713" s="6"/>
    </row>
    <row r="5714" spans="19:19" x14ac:dyDescent="0.3">
      <c r="S5714" s="6"/>
    </row>
    <row r="5715" spans="19:19" x14ac:dyDescent="0.3">
      <c r="S5715" s="6"/>
    </row>
    <row r="5716" spans="19:19" x14ac:dyDescent="0.3">
      <c r="S5716" s="6"/>
    </row>
    <row r="5717" spans="19:19" x14ac:dyDescent="0.3">
      <c r="S5717" s="6"/>
    </row>
    <row r="5718" spans="19:19" x14ac:dyDescent="0.3">
      <c r="S5718" s="6"/>
    </row>
    <row r="5719" spans="19:19" x14ac:dyDescent="0.3">
      <c r="S5719" s="6"/>
    </row>
    <row r="5720" spans="19:19" x14ac:dyDescent="0.3">
      <c r="S5720" s="6"/>
    </row>
    <row r="5721" spans="19:19" x14ac:dyDescent="0.3">
      <c r="S5721" s="6"/>
    </row>
    <row r="5722" spans="19:19" x14ac:dyDescent="0.3">
      <c r="S5722" s="6"/>
    </row>
    <row r="5723" spans="19:19" x14ac:dyDescent="0.3">
      <c r="S5723" s="6"/>
    </row>
    <row r="5724" spans="19:19" x14ac:dyDescent="0.3">
      <c r="S5724" s="6"/>
    </row>
    <row r="5725" spans="19:19" x14ac:dyDescent="0.3">
      <c r="S5725" s="6"/>
    </row>
    <row r="5726" spans="19:19" x14ac:dyDescent="0.3">
      <c r="S5726" s="6"/>
    </row>
    <row r="5727" spans="19:19" x14ac:dyDescent="0.3">
      <c r="S5727" s="6"/>
    </row>
    <row r="5728" spans="19:19" x14ac:dyDescent="0.3">
      <c r="S5728" s="6"/>
    </row>
    <row r="5729" spans="19:19" x14ac:dyDescent="0.3">
      <c r="S5729" s="6"/>
    </row>
    <row r="5730" spans="19:19" x14ac:dyDescent="0.3">
      <c r="S5730" s="6"/>
    </row>
    <row r="5731" spans="19:19" x14ac:dyDescent="0.3">
      <c r="S5731" s="6"/>
    </row>
    <row r="5732" spans="19:19" x14ac:dyDescent="0.3">
      <c r="S5732" s="6"/>
    </row>
    <row r="5733" spans="19:19" x14ac:dyDescent="0.3">
      <c r="S5733" s="6"/>
    </row>
    <row r="5734" spans="19:19" x14ac:dyDescent="0.3">
      <c r="S5734" s="6"/>
    </row>
    <row r="5735" spans="19:19" x14ac:dyDescent="0.3">
      <c r="S5735" s="6"/>
    </row>
    <row r="5736" spans="19:19" x14ac:dyDescent="0.3">
      <c r="S5736" s="6"/>
    </row>
    <row r="5737" spans="19:19" x14ac:dyDescent="0.3">
      <c r="S5737" s="6"/>
    </row>
    <row r="5738" spans="19:19" x14ac:dyDescent="0.3">
      <c r="S5738" s="6"/>
    </row>
    <row r="5739" spans="19:19" x14ac:dyDescent="0.3">
      <c r="S5739" s="6"/>
    </row>
    <row r="5740" spans="19:19" x14ac:dyDescent="0.3">
      <c r="S5740" s="6"/>
    </row>
    <row r="5741" spans="19:19" x14ac:dyDescent="0.3">
      <c r="S5741" s="6"/>
    </row>
    <row r="5742" spans="19:19" x14ac:dyDescent="0.3">
      <c r="S5742" s="6"/>
    </row>
    <row r="5743" spans="19:19" x14ac:dyDescent="0.3">
      <c r="S5743" s="6"/>
    </row>
    <row r="5744" spans="19:19" x14ac:dyDescent="0.3">
      <c r="S5744" s="6"/>
    </row>
    <row r="5745" spans="19:19" x14ac:dyDescent="0.3">
      <c r="S5745" s="6"/>
    </row>
    <row r="5746" spans="19:19" x14ac:dyDescent="0.3">
      <c r="S5746" s="6"/>
    </row>
    <row r="5747" spans="19:19" x14ac:dyDescent="0.3">
      <c r="S5747" s="6"/>
    </row>
    <row r="5748" spans="19:19" x14ac:dyDescent="0.3">
      <c r="S5748" s="6"/>
    </row>
    <row r="5749" spans="19:19" x14ac:dyDescent="0.3">
      <c r="S5749" s="6"/>
    </row>
    <row r="5750" spans="19:19" x14ac:dyDescent="0.3">
      <c r="S5750" s="6"/>
    </row>
    <row r="5751" spans="19:19" x14ac:dyDescent="0.3">
      <c r="S5751" s="6"/>
    </row>
    <row r="5752" spans="19:19" x14ac:dyDescent="0.3">
      <c r="S5752" s="6"/>
    </row>
    <row r="5753" spans="19:19" x14ac:dyDescent="0.3">
      <c r="S5753" s="6"/>
    </row>
    <row r="5754" spans="19:19" x14ac:dyDescent="0.3">
      <c r="S5754" s="6"/>
    </row>
    <row r="5755" spans="19:19" x14ac:dyDescent="0.3">
      <c r="S5755" s="6"/>
    </row>
    <row r="5756" spans="19:19" x14ac:dyDescent="0.3">
      <c r="S5756" s="6"/>
    </row>
    <row r="5757" spans="19:19" x14ac:dyDescent="0.3">
      <c r="S5757" s="6"/>
    </row>
    <row r="5758" spans="19:19" x14ac:dyDescent="0.3">
      <c r="S5758" s="6"/>
    </row>
    <row r="5759" spans="19:19" x14ac:dyDescent="0.3">
      <c r="S5759" s="6"/>
    </row>
    <row r="5760" spans="19:19" x14ac:dyDescent="0.3">
      <c r="S5760" s="6"/>
    </row>
    <row r="5761" spans="19:19" x14ac:dyDescent="0.3">
      <c r="S5761" s="6"/>
    </row>
    <row r="5762" spans="19:19" x14ac:dyDescent="0.3">
      <c r="S5762" s="6"/>
    </row>
    <row r="5763" spans="19:19" x14ac:dyDescent="0.3">
      <c r="S5763" s="6"/>
    </row>
    <row r="5764" spans="19:19" x14ac:dyDescent="0.3">
      <c r="S5764" s="6"/>
    </row>
    <row r="5765" spans="19:19" x14ac:dyDescent="0.3">
      <c r="S5765" s="6"/>
    </row>
    <row r="5766" spans="19:19" x14ac:dyDescent="0.3">
      <c r="S5766" s="6"/>
    </row>
    <row r="5767" spans="19:19" x14ac:dyDescent="0.3">
      <c r="S5767" s="6"/>
    </row>
    <row r="5768" spans="19:19" x14ac:dyDescent="0.3">
      <c r="S5768" s="6"/>
    </row>
    <row r="5769" spans="19:19" x14ac:dyDescent="0.3">
      <c r="S5769" s="6"/>
    </row>
    <row r="5770" spans="19:19" x14ac:dyDescent="0.3">
      <c r="S5770" s="6"/>
    </row>
    <row r="5771" spans="19:19" x14ac:dyDescent="0.3">
      <c r="S5771" s="6"/>
    </row>
    <row r="5772" spans="19:19" x14ac:dyDescent="0.3">
      <c r="S5772" s="6"/>
    </row>
    <row r="5773" spans="19:19" x14ac:dyDescent="0.3">
      <c r="S5773" s="6"/>
    </row>
    <row r="5774" spans="19:19" x14ac:dyDescent="0.3">
      <c r="S5774" s="6"/>
    </row>
    <row r="5775" spans="19:19" x14ac:dyDescent="0.3">
      <c r="S5775" s="6"/>
    </row>
    <row r="5776" spans="19:19" x14ac:dyDescent="0.3">
      <c r="S5776" s="6"/>
    </row>
    <row r="5777" spans="19:19" x14ac:dyDescent="0.3">
      <c r="S5777" s="6"/>
    </row>
    <row r="5778" spans="19:19" x14ac:dyDescent="0.3">
      <c r="S5778" s="6"/>
    </row>
    <row r="5779" spans="19:19" x14ac:dyDescent="0.3">
      <c r="S5779" s="6"/>
    </row>
    <row r="5780" spans="19:19" x14ac:dyDescent="0.3">
      <c r="S5780" s="6"/>
    </row>
    <row r="5781" spans="19:19" x14ac:dyDescent="0.3">
      <c r="S5781" s="6"/>
    </row>
    <row r="5782" spans="19:19" x14ac:dyDescent="0.3">
      <c r="S5782" s="6"/>
    </row>
    <row r="5783" spans="19:19" x14ac:dyDescent="0.3">
      <c r="S5783" s="6"/>
    </row>
    <row r="5784" spans="19:19" x14ac:dyDescent="0.3">
      <c r="S5784" s="6"/>
    </row>
    <row r="5785" spans="19:19" x14ac:dyDescent="0.3">
      <c r="S5785" s="6"/>
    </row>
    <row r="5786" spans="19:19" x14ac:dyDescent="0.3">
      <c r="S5786" s="6"/>
    </row>
    <row r="5787" spans="19:19" x14ac:dyDescent="0.3">
      <c r="S5787" s="6"/>
    </row>
    <row r="5788" spans="19:19" x14ac:dyDescent="0.3">
      <c r="S5788" s="6"/>
    </row>
    <row r="5789" spans="19:19" x14ac:dyDescent="0.3">
      <c r="S5789" s="6"/>
    </row>
    <row r="5790" spans="19:19" x14ac:dyDescent="0.3">
      <c r="S5790" s="6"/>
    </row>
    <row r="5791" spans="19:19" x14ac:dyDescent="0.3">
      <c r="S5791" s="6"/>
    </row>
    <row r="5792" spans="19:19" x14ac:dyDescent="0.3">
      <c r="S5792" s="6"/>
    </row>
    <row r="5793" spans="19:19" x14ac:dyDescent="0.3">
      <c r="S5793" s="6"/>
    </row>
    <row r="5794" spans="19:19" x14ac:dyDescent="0.3">
      <c r="S5794" s="6"/>
    </row>
    <row r="5795" spans="19:19" x14ac:dyDescent="0.3">
      <c r="S5795" s="6"/>
    </row>
    <row r="5796" spans="19:19" x14ac:dyDescent="0.3">
      <c r="S5796" s="6"/>
    </row>
    <row r="5797" spans="19:19" x14ac:dyDescent="0.3">
      <c r="S5797" s="6"/>
    </row>
    <row r="5798" spans="19:19" x14ac:dyDescent="0.3">
      <c r="S5798" s="6"/>
    </row>
    <row r="5799" spans="19:19" x14ac:dyDescent="0.3">
      <c r="S5799" s="6"/>
    </row>
    <row r="5800" spans="19:19" x14ac:dyDescent="0.3">
      <c r="S5800" s="6"/>
    </row>
    <row r="5801" spans="19:19" x14ac:dyDescent="0.3">
      <c r="S5801" s="6"/>
    </row>
    <row r="5802" spans="19:19" x14ac:dyDescent="0.3">
      <c r="S5802" s="6"/>
    </row>
    <row r="5803" spans="19:19" x14ac:dyDescent="0.3">
      <c r="S5803" s="6"/>
    </row>
    <row r="5804" spans="19:19" x14ac:dyDescent="0.3">
      <c r="S5804" s="6"/>
    </row>
    <row r="5805" spans="19:19" x14ac:dyDescent="0.3">
      <c r="S5805" s="6"/>
    </row>
    <row r="5806" spans="19:19" x14ac:dyDescent="0.3">
      <c r="S5806" s="6"/>
    </row>
    <row r="5807" spans="19:19" x14ac:dyDescent="0.3">
      <c r="S5807" s="6"/>
    </row>
    <row r="5808" spans="19:19" x14ac:dyDescent="0.3">
      <c r="S5808" s="6"/>
    </row>
    <row r="5809" spans="19:19" x14ac:dyDescent="0.3">
      <c r="S5809" s="6"/>
    </row>
    <row r="5810" spans="19:19" x14ac:dyDescent="0.3">
      <c r="S5810" s="6"/>
    </row>
    <row r="5811" spans="19:19" x14ac:dyDescent="0.3">
      <c r="S5811" s="6"/>
    </row>
    <row r="5812" spans="19:19" x14ac:dyDescent="0.3">
      <c r="S5812" s="6"/>
    </row>
    <row r="5813" spans="19:19" x14ac:dyDescent="0.3">
      <c r="S5813" s="6"/>
    </row>
    <row r="5814" spans="19:19" x14ac:dyDescent="0.3">
      <c r="S5814" s="6"/>
    </row>
    <row r="5815" spans="19:19" x14ac:dyDescent="0.3">
      <c r="S5815" s="6"/>
    </row>
    <row r="5816" spans="19:19" x14ac:dyDescent="0.3">
      <c r="S5816" s="6"/>
    </row>
    <row r="5817" spans="19:19" x14ac:dyDescent="0.3">
      <c r="S5817" s="6"/>
    </row>
    <row r="5818" spans="19:19" x14ac:dyDescent="0.3">
      <c r="S5818" s="6"/>
    </row>
    <row r="5819" spans="19:19" x14ac:dyDescent="0.3">
      <c r="S5819" s="6"/>
    </row>
    <row r="5820" spans="19:19" x14ac:dyDescent="0.3">
      <c r="S5820" s="6"/>
    </row>
    <row r="5821" spans="19:19" x14ac:dyDescent="0.3">
      <c r="S5821" s="6"/>
    </row>
    <row r="5822" spans="19:19" x14ac:dyDescent="0.3">
      <c r="S5822" s="6"/>
    </row>
    <row r="5823" spans="19:19" x14ac:dyDescent="0.3">
      <c r="S5823" s="6"/>
    </row>
    <row r="5824" spans="19:19" x14ac:dyDescent="0.3">
      <c r="S5824" s="6"/>
    </row>
    <row r="5825" spans="19:19" x14ac:dyDescent="0.3">
      <c r="S5825" s="6"/>
    </row>
    <row r="5826" spans="19:19" x14ac:dyDescent="0.3">
      <c r="S5826" s="6"/>
    </row>
    <row r="5827" spans="19:19" x14ac:dyDescent="0.3">
      <c r="S5827" s="6"/>
    </row>
    <row r="5828" spans="19:19" x14ac:dyDescent="0.3">
      <c r="S5828" s="6"/>
    </row>
    <row r="5829" spans="19:19" x14ac:dyDescent="0.3">
      <c r="S5829" s="6"/>
    </row>
    <row r="5830" spans="19:19" x14ac:dyDescent="0.3">
      <c r="S5830" s="6"/>
    </row>
    <row r="5831" spans="19:19" x14ac:dyDescent="0.3">
      <c r="S5831" s="6"/>
    </row>
    <row r="5832" spans="19:19" x14ac:dyDescent="0.3">
      <c r="S5832" s="6"/>
    </row>
    <row r="5833" spans="19:19" x14ac:dyDescent="0.3">
      <c r="S5833" s="6"/>
    </row>
    <row r="5834" spans="19:19" x14ac:dyDescent="0.3">
      <c r="S5834" s="6"/>
    </row>
    <row r="5835" spans="19:19" x14ac:dyDescent="0.3">
      <c r="S5835" s="6"/>
    </row>
    <row r="5836" spans="19:19" x14ac:dyDescent="0.3">
      <c r="S5836" s="6"/>
    </row>
    <row r="5837" spans="19:19" x14ac:dyDescent="0.3">
      <c r="S5837" s="6"/>
    </row>
    <row r="5838" spans="19:19" x14ac:dyDescent="0.3">
      <c r="S5838" s="6"/>
    </row>
    <row r="5839" spans="19:19" x14ac:dyDescent="0.3">
      <c r="S5839" s="6"/>
    </row>
    <row r="5840" spans="19:19" x14ac:dyDescent="0.3">
      <c r="S5840" s="6"/>
    </row>
    <row r="5841" spans="19:19" x14ac:dyDescent="0.3">
      <c r="S5841" s="6"/>
    </row>
    <row r="5842" spans="19:19" x14ac:dyDescent="0.3">
      <c r="S5842" s="6"/>
    </row>
    <row r="5843" spans="19:19" x14ac:dyDescent="0.3">
      <c r="S5843" s="6"/>
    </row>
    <row r="5844" spans="19:19" x14ac:dyDescent="0.3">
      <c r="S5844" s="6"/>
    </row>
    <row r="5845" spans="19:19" x14ac:dyDescent="0.3">
      <c r="S5845" s="6"/>
    </row>
    <row r="5846" spans="19:19" x14ac:dyDescent="0.3">
      <c r="S5846" s="6"/>
    </row>
    <row r="5847" spans="19:19" x14ac:dyDescent="0.3">
      <c r="S5847" s="6"/>
    </row>
    <row r="5848" spans="19:19" x14ac:dyDescent="0.3">
      <c r="S5848" s="6"/>
    </row>
    <row r="5849" spans="19:19" x14ac:dyDescent="0.3">
      <c r="S5849" s="6"/>
    </row>
    <row r="5850" spans="19:19" x14ac:dyDescent="0.3">
      <c r="S5850" s="6"/>
    </row>
    <row r="5851" spans="19:19" x14ac:dyDescent="0.3">
      <c r="S5851" s="6"/>
    </row>
    <row r="5852" spans="19:19" x14ac:dyDescent="0.3">
      <c r="S5852" s="6"/>
    </row>
    <row r="5853" spans="19:19" x14ac:dyDescent="0.3">
      <c r="S5853" s="6"/>
    </row>
    <row r="5854" spans="19:19" x14ac:dyDescent="0.3">
      <c r="S5854" s="6"/>
    </row>
    <row r="5855" spans="19:19" x14ac:dyDescent="0.3">
      <c r="S5855" s="6"/>
    </row>
    <row r="5856" spans="19:19" x14ac:dyDescent="0.3">
      <c r="S5856" s="6"/>
    </row>
    <row r="5857" spans="19:19" x14ac:dyDescent="0.3">
      <c r="S5857" s="6"/>
    </row>
    <row r="5858" spans="19:19" x14ac:dyDescent="0.3">
      <c r="S5858" s="6"/>
    </row>
    <row r="5859" spans="19:19" x14ac:dyDescent="0.3">
      <c r="S5859" s="6"/>
    </row>
    <row r="5860" spans="19:19" x14ac:dyDescent="0.3">
      <c r="S5860" s="6"/>
    </row>
    <row r="5861" spans="19:19" x14ac:dyDescent="0.3">
      <c r="S5861" s="6"/>
    </row>
    <row r="5862" spans="19:19" x14ac:dyDescent="0.3">
      <c r="S5862" s="6"/>
    </row>
    <row r="5863" spans="19:19" x14ac:dyDescent="0.3">
      <c r="S5863" s="6"/>
    </row>
    <row r="5864" spans="19:19" x14ac:dyDescent="0.3">
      <c r="S5864" s="6"/>
    </row>
    <row r="5865" spans="19:19" x14ac:dyDescent="0.3">
      <c r="S5865" s="6"/>
    </row>
    <row r="5866" spans="19:19" x14ac:dyDescent="0.3">
      <c r="S5866" s="6"/>
    </row>
    <row r="5867" spans="19:19" x14ac:dyDescent="0.3">
      <c r="S5867" s="6"/>
    </row>
    <row r="5868" spans="19:19" x14ac:dyDescent="0.3">
      <c r="S5868" s="6"/>
    </row>
    <row r="5869" spans="19:19" x14ac:dyDescent="0.3">
      <c r="S5869" s="6"/>
    </row>
    <row r="5870" spans="19:19" x14ac:dyDescent="0.3">
      <c r="S5870" s="6"/>
    </row>
    <row r="5871" spans="19:19" x14ac:dyDescent="0.3">
      <c r="S5871" s="6"/>
    </row>
    <row r="5872" spans="19:19" x14ac:dyDescent="0.3">
      <c r="S5872" s="6"/>
    </row>
    <row r="5873" spans="19:19" x14ac:dyDescent="0.3">
      <c r="S5873" s="6"/>
    </row>
    <row r="5874" spans="19:19" x14ac:dyDescent="0.3">
      <c r="S5874" s="6"/>
    </row>
    <row r="5875" spans="19:19" x14ac:dyDescent="0.3">
      <c r="S5875" s="6"/>
    </row>
    <row r="5876" spans="19:19" x14ac:dyDescent="0.3">
      <c r="S5876" s="6"/>
    </row>
    <row r="5877" spans="19:19" x14ac:dyDescent="0.3">
      <c r="S5877" s="6"/>
    </row>
    <row r="5878" spans="19:19" x14ac:dyDescent="0.3">
      <c r="S5878" s="6"/>
    </row>
    <row r="5879" spans="19:19" x14ac:dyDescent="0.3">
      <c r="S5879" s="6"/>
    </row>
    <row r="5880" spans="19:19" x14ac:dyDescent="0.3">
      <c r="S5880" s="6"/>
    </row>
    <row r="5881" spans="19:19" x14ac:dyDescent="0.3">
      <c r="S5881" s="6"/>
    </row>
    <row r="5882" spans="19:19" x14ac:dyDescent="0.3">
      <c r="S5882" s="6"/>
    </row>
    <row r="5883" spans="19:19" x14ac:dyDescent="0.3">
      <c r="S5883" s="6"/>
    </row>
    <row r="5884" spans="19:19" x14ac:dyDescent="0.3">
      <c r="S5884" s="6"/>
    </row>
    <row r="5885" spans="19:19" x14ac:dyDescent="0.3">
      <c r="S5885" s="6"/>
    </row>
    <row r="5886" spans="19:19" x14ac:dyDescent="0.3">
      <c r="S5886" s="6"/>
    </row>
    <row r="5887" spans="19:19" x14ac:dyDescent="0.3">
      <c r="S5887" s="6"/>
    </row>
    <row r="5888" spans="19:19" x14ac:dyDescent="0.3">
      <c r="S5888" s="6"/>
    </row>
    <row r="5889" spans="19:19" x14ac:dyDescent="0.3">
      <c r="S5889" s="6"/>
    </row>
    <row r="5890" spans="19:19" x14ac:dyDescent="0.3">
      <c r="S5890" s="6"/>
    </row>
    <row r="5891" spans="19:19" x14ac:dyDescent="0.3">
      <c r="S5891" s="6"/>
    </row>
    <row r="5892" spans="19:19" x14ac:dyDescent="0.3">
      <c r="S5892" s="6"/>
    </row>
    <row r="5893" spans="19:19" x14ac:dyDescent="0.3">
      <c r="S5893" s="6"/>
    </row>
    <row r="5894" spans="19:19" x14ac:dyDescent="0.3">
      <c r="S5894" s="6"/>
    </row>
    <row r="5895" spans="19:19" x14ac:dyDescent="0.3">
      <c r="S5895" s="6"/>
    </row>
    <row r="5896" spans="19:19" x14ac:dyDescent="0.3">
      <c r="S5896" s="6"/>
    </row>
    <row r="5897" spans="19:19" x14ac:dyDescent="0.3">
      <c r="S5897" s="6"/>
    </row>
    <row r="5898" spans="19:19" x14ac:dyDescent="0.3">
      <c r="S5898" s="6"/>
    </row>
    <row r="5899" spans="19:19" x14ac:dyDescent="0.3">
      <c r="S5899" s="6"/>
    </row>
    <row r="5900" spans="19:19" x14ac:dyDescent="0.3">
      <c r="S5900" s="6"/>
    </row>
    <row r="5901" spans="19:19" x14ac:dyDescent="0.3">
      <c r="S5901" s="6"/>
    </row>
    <row r="5902" spans="19:19" x14ac:dyDescent="0.3">
      <c r="S5902" s="6"/>
    </row>
    <row r="5903" spans="19:19" x14ac:dyDescent="0.3">
      <c r="S5903" s="6"/>
    </row>
    <row r="5904" spans="19:19" x14ac:dyDescent="0.3">
      <c r="S5904" s="6"/>
    </row>
    <row r="5905" spans="19:19" x14ac:dyDescent="0.3">
      <c r="S5905" s="6"/>
    </row>
    <row r="5906" spans="19:19" x14ac:dyDescent="0.3">
      <c r="S5906" s="6"/>
    </row>
    <row r="5907" spans="19:19" x14ac:dyDescent="0.3">
      <c r="S5907" s="6"/>
    </row>
    <row r="5908" spans="19:19" x14ac:dyDescent="0.3">
      <c r="S5908" s="6"/>
    </row>
    <row r="5909" spans="19:19" x14ac:dyDescent="0.3">
      <c r="S5909" s="6"/>
    </row>
    <row r="5910" spans="19:19" x14ac:dyDescent="0.3">
      <c r="S5910" s="6"/>
    </row>
    <row r="5911" spans="19:19" x14ac:dyDescent="0.3">
      <c r="S5911" s="6"/>
    </row>
    <row r="5912" spans="19:19" x14ac:dyDescent="0.3">
      <c r="S5912" s="6"/>
    </row>
    <row r="5913" spans="19:19" x14ac:dyDescent="0.3">
      <c r="S5913" s="6"/>
    </row>
    <row r="5914" spans="19:19" x14ac:dyDescent="0.3">
      <c r="S5914" s="6"/>
    </row>
    <row r="5915" spans="19:19" x14ac:dyDescent="0.3">
      <c r="S5915" s="6"/>
    </row>
    <row r="5916" spans="19:19" x14ac:dyDescent="0.3">
      <c r="S5916" s="6"/>
    </row>
    <row r="5917" spans="19:19" x14ac:dyDescent="0.3">
      <c r="S5917" s="6"/>
    </row>
    <row r="5918" spans="19:19" x14ac:dyDescent="0.3">
      <c r="S5918" s="6"/>
    </row>
    <row r="5919" spans="19:19" x14ac:dyDescent="0.3">
      <c r="S5919" s="6"/>
    </row>
    <row r="5920" spans="19:19" x14ac:dyDescent="0.3">
      <c r="S5920" s="6"/>
    </row>
    <row r="5921" spans="19:19" x14ac:dyDescent="0.3">
      <c r="S5921" s="6"/>
    </row>
    <row r="5922" spans="19:19" x14ac:dyDescent="0.3">
      <c r="S5922" s="6"/>
    </row>
    <row r="5923" spans="19:19" x14ac:dyDescent="0.3">
      <c r="S5923" s="6"/>
    </row>
    <row r="5924" spans="19:19" x14ac:dyDescent="0.3">
      <c r="S5924" s="6"/>
    </row>
    <row r="5925" spans="19:19" x14ac:dyDescent="0.3">
      <c r="S5925" s="6"/>
    </row>
    <row r="5926" spans="19:19" x14ac:dyDescent="0.3">
      <c r="S5926" s="6"/>
    </row>
    <row r="5927" spans="19:19" x14ac:dyDescent="0.3">
      <c r="S5927" s="6"/>
    </row>
    <row r="5928" spans="19:19" x14ac:dyDescent="0.3">
      <c r="S5928" s="6"/>
    </row>
    <row r="5929" spans="19:19" x14ac:dyDescent="0.3">
      <c r="S5929" s="6"/>
    </row>
    <row r="5930" spans="19:19" x14ac:dyDescent="0.3">
      <c r="S5930" s="6"/>
    </row>
    <row r="5931" spans="19:19" x14ac:dyDescent="0.3">
      <c r="S5931" s="6"/>
    </row>
    <row r="5932" spans="19:19" x14ac:dyDescent="0.3">
      <c r="S5932" s="6"/>
    </row>
    <row r="5933" spans="19:19" x14ac:dyDescent="0.3">
      <c r="S5933" s="6"/>
    </row>
    <row r="5934" spans="19:19" x14ac:dyDescent="0.3">
      <c r="S5934" s="6"/>
    </row>
    <row r="5935" spans="19:19" x14ac:dyDescent="0.3">
      <c r="S5935" s="6"/>
    </row>
    <row r="5936" spans="19:19" x14ac:dyDescent="0.3">
      <c r="S5936" s="6"/>
    </row>
    <row r="5937" spans="19:19" x14ac:dyDescent="0.3">
      <c r="S5937" s="6"/>
    </row>
    <row r="5938" spans="19:19" x14ac:dyDescent="0.3">
      <c r="S5938" s="6"/>
    </row>
    <row r="5939" spans="19:19" x14ac:dyDescent="0.3">
      <c r="S5939" s="6"/>
    </row>
    <row r="5940" spans="19:19" x14ac:dyDescent="0.3">
      <c r="S5940" s="6"/>
    </row>
    <row r="5941" spans="19:19" x14ac:dyDescent="0.3">
      <c r="S5941" s="6"/>
    </row>
    <row r="5942" spans="19:19" x14ac:dyDescent="0.3">
      <c r="S5942" s="6"/>
    </row>
    <row r="5943" spans="19:19" x14ac:dyDescent="0.3">
      <c r="S5943" s="6"/>
    </row>
    <row r="5944" spans="19:19" x14ac:dyDescent="0.3">
      <c r="S5944" s="6"/>
    </row>
    <row r="5945" spans="19:19" x14ac:dyDescent="0.3">
      <c r="S5945" s="6"/>
    </row>
    <row r="5946" spans="19:19" x14ac:dyDescent="0.3">
      <c r="S5946" s="6"/>
    </row>
    <row r="5947" spans="19:19" x14ac:dyDescent="0.3">
      <c r="S5947" s="6"/>
    </row>
    <row r="5948" spans="19:19" x14ac:dyDescent="0.3">
      <c r="S5948" s="6"/>
    </row>
    <row r="5949" spans="19:19" x14ac:dyDescent="0.3">
      <c r="S5949" s="6"/>
    </row>
    <row r="5950" spans="19:19" x14ac:dyDescent="0.3">
      <c r="S5950" s="6"/>
    </row>
    <row r="5951" spans="19:19" x14ac:dyDescent="0.3">
      <c r="S5951" s="6"/>
    </row>
    <row r="5952" spans="19:19" x14ac:dyDescent="0.3">
      <c r="S5952" s="6"/>
    </row>
    <row r="5953" spans="19:19" x14ac:dyDescent="0.3">
      <c r="S5953" s="6"/>
    </row>
    <row r="5954" spans="19:19" x14ac:dyDescent="0.3">
      <c r="S5954" s="6"/>
    </row>
    <row r="5955" spans="19:19" x14ac:dyDescent="0.3">
      <c r="S5955" s="6"/>
    </row>
    <row r="5956" spans="19:19" x14ac:dyDescent="0.3">
      <c r="S5956" s="6"/>
    </row>
    <row r="5957" spans="19:19" x14ac:dyDescent="0.3">
      <c r="S5957" s="6"/>
    </row>
    <row r="5958" spans="19:19" x14ac:dyDescent="0.3">
      <c r="S5958" s="6"/>
    </row>
    <row r="5959" spans="19:19" x14ac:dyDescent="0.3">
      <c r="S5959" s="6"/>
    </row>
    <row r="5960" spans="19:19" x14ac:dyDescent="0.3">
      <c r="S5960" s="6"/>
    </row>
    <row r="5961" spans="19:19" x14ac:dyDescent="0.3">
      <c r="S5961" s="6"/>
    </row>
    <row r="5962" spans="19:19" x14ac:dyDescent="0.3">
      <c r="S5962" s="6"/>
    </row>
    <row r="5963" spans="19:19" x14ac:dyDescent="0.3">
      <c r="S5963" s="6"/>
    </row>
    <row r="5964" spans="19:19" x14ac:dyDescent="0.3">
      <c r="S5964" s="6"/>
    </row>
    <row r="5965" spans="19:19" x14ac:dyDescent="0.3">
      <c r="S5965" s="6"/>
    </row>
    <row r="5966" spans="19:19" x14ac:dyDescent="0.3">
      <c r="S5966" s="6"/>
    </row>
    <row r="5967" spans="19:19" x14ac:dyDescent="0.3">
      <c r="S5967" s="6"/>
    </row>
    <row r="5968" spans="19:19" x14ac:dyDescent="0.3">
      <c r="S5968" s="6"/>
    </row>
    <row r="5969" spans="19:19" x14ac:dyDescent="0.3">
      <c r="S5969" s="6"/>
    </row>
    <row r="5970" spans="19:19" x14ac:dyDescent="0.3">
      <c r="S5970" s="6"/>
    </row>
    <row r="5971" spans="19:19" x14ac:dyDescent="0.3">
      <c r="S5971" s="6"/>
    </row>
    <row r="5972" spans="19:19" x14ac:dyDescent="0.3">
      <c r="S5972" s="6"/>
    </row>
    <row r="5973" spans="19:19" x14ac:dyDescent="0.3">
      <c r="S5973" s="6"/>
    </row>
    <row r="5974" spans="19:19" x14ac:dyDescent="0.3">
      <c r="S5974" s="6"/>
    </row>
    <row r="5975" spans="19:19" x14ac:dyDescent="0.3">
      <c r="S5975" s="6"/>
    </row>
    <row r="5976" spans="19:19" x14ac:dyDescent="0.3">
      <c r="S5976" s="6"/>
    </row>
    <row r="5977" spans="19:19" x14ac:dyDescent="0.3">
      <c r="S5977" s="6"/>
    </row>
    <row r="5978" spans="19:19" x14ac:dyDescent="0.3">
      <c r="S5978" s="6"/>
    </row>
    <row r="5979" spans="19:19" x14ac:dyDescent="0.3">
      <c r="S5979" s="6"/>
    </row>
    <row r="5980" spans="19:19" x14ac:dyDescent="0.3">
      <c r="S5980" s="6"/>
    </row>
    <row r="5981" spans="19:19" x14ac:dyDescent="0.3">
      <c r="S5981" s="6"/>
    </row>
    <row r="5982" spans="19:19" x14ac:dyDescent="0.3">
      <c r="S5982" s="6"/>
    </row>
    <row r="5983" spans="19:19" x14ac:dyDescent="0.3">
      <c r="S5983" s="6"/>
    </row>
    <row r="5984" spans="19:19" x14ac:dyDescent="0.3">
      <c r="S5984" s="6"/>
    </row>
    <row r="5985" spans="19:19" x14ac:dyDescent="0.3">
      <c r="S5985" s="6"/>
    </row>
    <row r="5986" spans="19:19" x14ac:dyDescent="0.3">
      <c r="S5986" s="6"/>
    </row>
    <row r="5987" spans="19:19" x14ac:dyDescent="0.3">
      <c r="S5987" s="6"/>
    </row>
    <row r="5988" spans="19:19" x14ac:dyDescent="0.3">
      <c r="S5988" s="6"/>
    </row>
    <row r="5989" spans="19:19" x14ac:dyDescent="0.3">
      <c r="S5989" s="6"/>
    </row>
    <row r="5990" spans="19:19" x14ac:dyDescent="0.3">
      <c r="S5990" s="6"/>
    </row>
    <row r="5991" spans="19:19" x14ac:dyDescent="0.3">
      <c r="S5991" s="6"/>
    </row>
    <row r="5992" spans="19:19" x14ac:dyDescent="0.3">
      <c r="S5992" s="6"/>
    </row>
    <row r="5993" spans="19:19" x14ac:dyDescent="0.3">
      <c r="S5993" s="6"/>
    </row>
    <row r="5994" spans="19:19" x14ac:dyDescent="0.3">
      <c r="S5994" s="6"/>
    </row>
    <row r="5995" spans="19:19" x14ac:dyDescent="0.3">
      <c r="S5995" s="6"/>
    </row>
    <row r="5996" spans="19:19" x14ac:dyDescent="0.3">
      <c r="S5996" s="6"/>
    </row>
    <row r="5997" spans="19:19" x14ac:dyDescent="0.3">
      <c r="S5997" s="6"/>
    </row>
    <row r="5998" spans="19:19" x14ac:dyDescent="0.3">
      <c r="S5998" s="6"/>
    </row>
    <row r="5999" spans="19:19" x14ac:dyDescent="0.3">
      <c r="S5999" s="6"/>
    </row>
    <row r="6000" spans="19:19" x14ac:dyDescent="0.3">
      <c r="S6000" s="6"/>
    </row>
    <row r="6001" spans="19:19" x14ac:dyDescent="0.3">
      <c r="S6001" s="6"/>
    </row>
    <row r="6002" spans="19:19" x14ac:dyDescent="0.3">
      <c r="S6002" s="6"/>
    </row>
    <row r="6003" spans="19:19" x14ac:dyDescent="0.3">
      <c r="S6003" s="6"/>
    </row>
    <row r="6004" spans="19:19" x14ac:dyDescent="0.3">
      <c r="S6004" s="6"/>
    </row>
    <row r="6005" spans="19:19" x14ac:dyDescent="0.3">
      <c r="S6005" s="6"/>
    </row>
    <row r="6006" spans="19:19" x14ac:dyDescent="0.3">
      <c r="S6006" s="6"/>
    </row>
    <row r="6007" spans="19:19" x14ac:dyDescent="0.3">
      <c r="S6007" s="6"/>
    </row>
    <row r="6008" spans="19:19" x14ac:dyDescent="0.3">
      <c r="S6008" s="6"/>
    </row>
    <row r="6009" spans="19:19" x14ac:dyDescent="0.3">
      <c r="S6009" s="6"/>
    </row>
    <row r="6010" spans="19:19" x14ac:dyDescent="0.3">
      <c r="S6010" s="6"/>
    </row>
    <row r="6011" spans="19:19" x14ac:dyDescent="0.3">
      <c r="S6011" s="6"/>
    </row>
    <row r="6012" spans="19:19" x14ac:dyDescent="0.3">
      <c r="S6012" s="6"/>
    </row>
    <row r="6013" spans="19:19" x14ac:dyDescent="0.3">
      <c r="S6013" s="6"/>
    </row>
    <row r="6014" spans="19:19" x14ac:dyDescent="0.3">
      <c r="S6014" s="6"/>
    </row>
    <row r="6015" spans="19:19" x14ac:dyDescent="0.3">
      <c r="S6015" s="6"/>
    </row>
    <row r="6016" spans="19:19" x14ac:dyDescent="0.3">
      <c r="S6016" s="6"/>
    </row>
    <row r="6017" spans="19:19" x14ac:dyDescent="0.3">
      <c r="S6017" s="6"/>
    </row>
    <row r="6018" spans="19:19" x14ac:dyDescent="0.3">
      <c r="S6018" s="6"/>
    </row>
    <row r="6019" spans="19:19" x14ac:dyDescent="0.3">
      <c r="S6019" s="6"/>
    </row>
    <row r="6020" spans="19:19" x14ac:dyDescent="0.3">
      <c r="S6020" s="6"/>
    </row>
    <row r="6021" spans="19:19" x14ac:dyDescent="0.3">
      <c r="S6021" s="6"/>
    </row>
    <row r="6022" spans="19:19" x14ac:dyDescent="0.3">
      <c r="S6022" s="6"/>
    </row>
    <row r="6023" spans="19:19" x14ac:dyDescent="0.3">
      <c r="S6023" s="6"/>
    </row>
    <row r="6024" spans="19:19" x14ac:dyDescent="0.3">
      <c r="S6024" s="6"/>
    </row>
    <row r="6025" spans="19:19" x14ac:dyDescent="0.3">
      <c r="S6025" s="6"/>
    </row>
    <row r="6026" spans="19:19" x14ac:dyDescent="0.3">
      <c r="S6026" s="6"/>
    </row>
    <row r="6027" spans="19:19" x14ac:dyDescent="0.3">
      <c r="S6027" s="6"/>
    </row>
    <row r="6028" spans="19:19" x14ac:dyDescent="0.3">
      <c r="S6028" s="6"/>
    </row>
    <row r="6029" spans="19:19" x14ac:dyDescent="0.3">
      <c r="S6029" s="6"/>
    </row>
    <row r="6030" spans="19:19" x14ac:dyDescent="0.3">
      <c r="S6030" s="6"/>
    </row>
    <row r="6031" spans="19:19" x14ac:dyDescent="0.3">
      <c r="S6031" s="6"/>
    </row>
    <row r="6032" spans="19:19" x14ac:dyDescent="0.3">
      <c r="S6032" s="6"/>
    </row>
    <row r="6033" spans="19:19" x14ac:dyDescent="0.3">
      <c r="S6033" s="6"/>
    </row>
    <row r="6034" spans="19:19" x14ac:dyDescent="0.3">
      <c r="S6034" s="6"/>
    </row>
    <row r="6035" spans="19:19" x14ac:dyDescent="0.3">
      <c r="S6035" s="6"/>
    </row>
    <row r="6036" spans="19:19" x14ac:dyDescent="0.3">
      <c r="S6036" s="6"/>
    </row>
    <row r="6037" spans="19:19" x14ac:dyDescent="0.3">
      <c r="S6037" s="6"/>
    </row>
    <row r="6038" spans="19:19" x14ac:dyDescent="0.3">
      <c r="S6038" s="6"/>
    </row>
    <row r="6039" spans="19:19" x14ac:dyDescent="0.3">
      <c r="S6039" s="6"/>
    </row>
    <row r="6040" spans="19:19" x14ac:dyDescent="0.3">
      <c r="S6040" s="6"/>
    </row>
    <row r="6041" spans="19:19" x14ac:dyDescent="0.3">
      <c r="S6041" s="6"/>
    </row>
    <row r="6042" spans="19:19" x14ac:dyDescent="0.3">
      <c r="S6042" s="6"/>
    </row>
    <row r="6043" spans="19:19" x14ac:dyDescent="0.3">
      <c r="S6043" s="6"/>
    </row>
    <row r="6044" spans="19:19" x14ac:dyDescent="0.3">
      <c r="S6044" s="6"/>
    </row>
    <row r="6045" spans="19:19" x14ac:dyDescent="0.3">
      <c r="S6045" s="6"/>
    </row>
    <row r="6046" spans="19:19" x14ac:dyDescent="0.3">
      <c r="S6046" s="6"/>
    </row>
    <row r="6047" spans="19:19" x14ac:dyDescent="0.3">
      <c r="S6047" s="6"/>
    </row>
    <row r="6048" spans="19:19" x14ac:dyDescent="0.3">
      <c r="S6048" s="6"/>
    </row>
    <row r="6049" spans="19:19" x14ac:dyDescent="0.3">
      <c r="S6049" s="6"/>
    </row>
    <row r="6050" spans="19:19" x14ac:dyDescent="0.3">
      <c r="S6050" s="6"/>
    </row>
    <row r="6051" spans="19:19" x14ac:dyDescent="0.3">
      <c r="S6051" s="6"/>
    </row>
    <row r="6052" spans="19:19" x14ac:dyDescent="0.3">
      <c r="S6052" s="6"/>
    </row>
    <row r="6053" spans="19:19" x14ac:dyDescent="0.3">
      <c r="S6053" s="6"/>
    </row>
    <row r="6054" spans="19:19" x14ac:dyDescent="0.3">
      <c r="S6054" s="6"/>
    </row>
    <row r="6055" spans="19:19" x14ac:dyDescent="0.3">
      <c r="S6055" s="6"/>
    </row>
    <row r="6056" spans="19:19" x14ac:dyDescent="0.3">
      <c r="S6056" s="6"/>
    </row>
    <row r="6057" spans="19:19" x14ac:dyDescent="0.3">
      <c r="S6057" s="6"/>
    </row>
    <row r="6058" spans="19:19" x14ac:dyDescent="0.3">
      <c r="S6058" s="6"/>
    </row>
    <row r="6059" spans="19:19" x14ac:dyDescent="0.3">
      <c r="S6059" s="6"/>
    </row>
    <row r="6060" spans="19:19" x14ac:dyDescent="0.3">
      <c r="S6060" s="6"/>
    </row>
    <row r="6061" spans="19:19" x14ac:dyDescent="0.3">
      <c r="S6061" s="6"/>
    </row>
    <row r="6062" spans="19:19" x14ac:dyDescent="0.3">
      <c r="S6062" s="6"/>
    </row>
    <row r="6063" spans="19:19" x14ac:dyDescent="0.3">
      <c r="S6063" s="6"/>
    </row>
    <row r="6064" spans="19:19" x14ac:dyDescent="0.3">
      <c r="S6064" s="6"/>
    </row>
    <row r="6065" spans="19:19" x14ac:dyDescent="0.3">
      <c r="S6065" s="6"/>
    </row>
    <row r="6066" spans="19:19" x14ac:dyDescent="0.3">
      <c r="S6066" s="6"/>
    </row>
    <row r="6067" spans="19:19" x14ac:dyDescent="0.3">
      <c r="S6067" s="6"/>
    </row>
    <row r="6068" spans="19:19" x14ac:dyDescent="0.3">
      <c r="S6068" s="6"/>
    </row>
    <row r="6069" spans="19:19" x14ac:dyDescent="0.3">
      <c r="S6069" s="6"/>
    </row>
    <row r="6070" spans="19:19" x14ac:dyDescent="0.3">
      <c r="S6070" s="6"/>
    </row>
    <row r="6071" spans="19:19" x14ac:dyDescent="0.3">
      <c r="S6071" s="6"/>
    </row>
    <row r="6072" spans="19:19" x14ac:dyDescent="0.3">
      <c r="S6072" s="6"/>
    </row>
    <row r="6073" spans="19:19" x14ac:dyDescent="0.3">
      <c r="S6073" s="6"/>
    </row>
    <row r="6074" spans="19:19" x14ac:dyDescent="0.3">
      <c r="S6074" s="6"/>
    </row>
    <row r="6075" spans="19:19" x14ac:dyDescent="0.3">
      <c r="S6075" s="6"/>
    </row>
    <row r="6076" spans="19:19" x14ac:dyDescent="0.3">
      <c r="S6076" s="6"/>
    </row>
    <row r="6077" spans="19:19" x14ac:dyDescent="0.3">
      <c r="S6077" s="6"/>
    </row>
    <row r="6078" spans="19:19" x14ac:dyDescent="0.3">
      <c r="S6078" s="6"/>
    </row>
    <row r="6079" spans="19:19" x14ac:dyDescent="0.3">
      <c r="S6079" s="6"/>
    </row>
    <row r="6080" spans="19:19" x14ac:dyDescent="0.3">
      <c r="S6080" s="6"/>
    </row>
    <row r="6081" spans="19:19" x14ac:dyDescent="0.3">
      <c r="S6081" s="6"/>
    </row>
    <row r="6082" spans="19:19" x14ac:dyDescent="0.3">
      <c r="S6082" s="6"/>
    </row>
    <row r="6083" spans="19:19" x14ac:dyDescent="0.3">
      <c r="S6083" s="6"/>
    </row>
    <row r="6084" spans="19:19" x14ac:dyDescent="0.3">
      <c r="S6084" s="6"/>
    </row>
    <row r="6085" spans="19:19" x14ac:dyDescent="0.3">
      <c r="S6085" s="6"/>
    </row>
    <row r="6086" spans="19:19" x14ac:dyDescent="0.3">
      <c r="S6086" s="6"/>
    </row>
    <row r="6087" spans="19:19" x14ac:dyDescent="0.3">
      <c r="S6087" s="6"/>
    </row>
    <row r="6088" spans="19:19" x14ac:dyDescent="0.3">
      <c r="S6088" s="6"/>
    </row>
    <row r="6089" spans="19:19" x14ac:dyDescent="0.3">
      <c r="S6089" s="6"/>
    </row>
    <row r="6090" spans="19:19" x14ac:dyDescent="0.3">
      <c r="S6090" s="6"/>
    </row>
    <row r="6091" spans="19:19" x14ac:dyDescent="0.3">
      <c r="S6091" s="6"/>
    </row>
    <row r="6092" spans="19:19" x14ac:dyDescent="0.3">
      <c r="S6092" s="6"/>
    </row>
    <row r="6093" spans="19:19" x14ac:dyDescent="0.3">
      <c r="S6093" s="6"/>
    </row>
    <row r="6094" spans="19:19" x14ac:dyDescent="0.3">
      <c r="S6094" s="6"/>
    </row>
    <row r="6095" spans="19:19" x14ac:dyDescent="0.3">
      <c r="S6095" s="6"/>
    </row>
    <row r="6096" spans="19:19" x14ac:dyDescent="0.3">
      <c r="S6096" s="6"/>
    </row>
    <row r="6097" spans="19:19" x14ac:dyDescent="0.3">
      <c r="S6097" s="6"/>
    </row>
    <row r="6098" spans="19:19" x14ac:dyDescent="0.3">
      <c r="S6098" s="6"/>
    </row>
    <row r="6099" spans="19:19" x14ac:dyDescent="0.3">
      <c r="S6099" s="6"/>
    </row>
    <row r="6100" spans="19:19" x14ac:dyDescent="0.3">
      <c r="S6100" s="6"/>
    </row>
    <row r="6101" spans="19:19" x14ac:dyDescent="0.3">
      <c r="S6101" s="6"/>
    </row>
    <row r="6102" spans="19:19" x14ac:dyDescent="0.3">
      <c r="S6102" s="6"/>
    </row>
    <row r="6103" spans="19:19" x14ac:dyDescent="0.3">
      <c r="S6103" s="6"/>
    </row>
    <row r="6104" spans="19:19" x14ac:dyDescent="0.3">
      <c r="S6104" s="6"/>
    </row>
    <row r="6105" spans="19:19" x14ac:dyDescent="0.3">
      <c r="S6105" s="6"/>
    </row>
    <row r="6106" spans="19:19" x14ac:dyDescent="0.3">
      <c r="S6106" s="6"/>
    </row>
    <row r="6107" spans="19:19" x14ac:dyDescent="0.3">
      <c r="S6107" s="6"/>
    </row>
    <row r="6108" spans="19:19" x14ac:dyDescent="0.3">
      <c r="S6108" s="6"/>
    </row>
    <row r="6109" spans="19:19" x14ac:dyDescent="0.3">
      <c r="S6109" s="6"/>
    </row>
    <row r="6110" spans="19:19" x14ac:dyDescent="0.3">
      <c r="S6110" s="6"/>
    </row>
    <row r="6111" spans="19:19" x14ac:dyDescent="0.3">
      <c r="S6111" s="6"/>
    </row>
    <row r="6112" spans="19:19" x14ac:dyDescent="0.3">
      <c r="S6112" s="6"/>
    </row>
    <row r="6113" spans="19:19" x14ac:dyDescent="0.3">
      <c r="S6113" s="6"/>
    </row>
    <row r="6114" spans="19:19" x14ac:dyDescent="0.3">
      <c r="S6114" s="6"/>
    </row>
    <row r="6115" spans="19:19" x14ac:dyDescent="0.3">
      <c r="S6115" s="6"/>
    </row>
    <row r="6116" spans="19:19" x14ac:dyDescent="0.3">
      <c r="S6116" s="6"/>
    </row>
    <row r="6117" spans="19:19" x14ac:dyDescent="0.3">
      <c r="S6117" s="6"/>
    </row>
    <row r="6118" spans="19:19" x14ac:dyDescent="0.3">
      <c r="S6118" s="6"/>
    </row>
    <row r="6119" spans="19:19" x14ac:dyDescent="0.3">
      <c r="S6119" s="6"/>
    </row>
    <row r="6120" spans="19:19" x14ac:dyDescent="0.3">
      <c r="S6120" s="6"/>
    </row>
    <row r="6121" spans="19:19" x14ac:dyDescent="0.3">
      <c r="S6121" s="6"/>
    </row>
    <row r="6122" spans="19:19" x14ac:dyDescent="0.3">
      <c r="S6122" s="6"/>
    </row>
    <row r="6123" spans="19:19" x14ac:dyDescent="0.3">
      <c r="S6123" s="6"/>
    </row>
    <row r="6124" spans="19:19" x14ac:dyDescent="0.3">
      <c r="S6124" s="6"/>
    </row>
    <row r="6125" spans="19:19" x14ac:dyDescent="0.3">
      <c r="S6125" s="6"/>
    </row>
    <row r="6126" spans="19:19" x14ac:dyDescent="0.3">
      <c r="S6126" s="6"/>
    </row>
    <row r="6127" spans="19:19" x14ac:dyDescent="0.3">
      <c r="S6127" s="6"/>
    </row>
    <row r="6128" spans="19:19" x14ac:dyDescent="0.3">
      <c r="S6128" s="6"/>
    </row>
    <row r="6129" spans="19:19" x14ac:dyDescent="0.3">
      <c r="S6129" s="6"/>
    </row>
    <row r="6130" spans="19:19" x14ac:dyDescent="0.3">
      <c r="S6130" s="6"/>
    </row>
    <row r="6131" spans="19:19" x14ac:dyDescent="0.3">
      <c r="S6131" s="6"/>
    </row>
    <row r="6132" spans="19:19" x14ac:dyDescent="0.3">
      <c r="S6132" s="6"/>
    </row>
    <row r="6133" spans="19:19" x14ac:dyDescent="0.3">
      <c r="S6133" s="6"/>
    </row>
    <row r="6134" spans="19:19" x14ac:dyDescent="0.3">
      <c r="S6134" s="6"/>
    </row>
    <row r="6135" spans="19:19" x14ac:dyDescent="0.3">
      <c r="S6135" s="6"/>
    </row>
    <row r="6136" spans="19:19" x14ac:dyDescent="0.3">
      <c r="S6136" s="6"/>
    </row>
    <row r="6137" spans="19:19" x14ac:dyDescent="0.3">
      <c r="S6137" s="6"/>
    </row>
    <row r="6138" spans="19:19" x14ac:dyDescent="0.3">
      <c r="S6138" s="6"/>
    </row>
    <row r="6139" spans="19:19" x14ac:dyDescent="0.3">
      <c r="S6139" s="6"/>
    </row>
    <row r="6140" spans="19:19" x14ac:dyDescent="0.3">
      <c r="S6140" s="6"/>
    </row>
    <row r="6141" spans="19:19" x14ac:dyDescent="0.3">
      <c r="S6141" s="6"/>
    </row>
    <row r="6142" spans="19:19" x14ac:dyDescent="0.3">
      <c r="S6142" s="6"/>
    </row>
    <row r="6143" spans="19:19" x14ac:dyDescent="0.3">
      <c r="S6143" s="6"/>
    </row>
    <row r="6144" spans="19:19" x14ac:dyDescent="0.3">
      <c r="S6144" s="6"/>
    </row>
    <row r="6145" spans="19:19" x14ac:dyDescent="0.3">
      <c r="S6145" s="6"/>
    </row>
    <row r="6146" spans="19:19" x14ac:dyDescent="0.3">
      <c r="S6146" s="6"/>
    </row>
    <row r="6147" spans="19:19" x14ac:dyDescent="0.3">
      <c r="S6147" s="6"/>
    </row>
    <row r="6148" spans="19:19" x14ac:dyDescent="0.3">
      <c r="S6148" s="6"/>
    </row>
    <row r="6149" spans="19:19" x14ac:dyDescent="0.3">
      <c r="S6149" s="6"/>
    </row>
    <row r="6150" spans="19:19" x14ac:dyDescent="0.3">
      <c r="S6150" s="6"/>
    </row>
    <row r="6151" spans="19:19" x14ac:dyDescent="0.3">
      <c r="S6151" s="6"/>
    </row>
    <row r="6152" spans="19:19" x14ac:dyDescent="0.3">
      <c r="S6152" s="6"/>
    </row>
    <row r="6153" spans="19:19" x14ac:dyDescent="0.3">
      <c r="S6153" s="6"/>
    </row>
    <row r="6154" spans="19:19" x14ac:dyDescent="0.3">
      <c r="S6154" s="6"/>
    </row>
    <row r="6155" spans="19:19" x14ac:dyDescent="0.3">
      <c r="S6155" s="6"/>
    </row>
    <row r="6156" spans="19:19" x14ac:dyDescent="0.3">
      <c r="S6156" s="6"/>
    </row>
    <row r="6157" spans="19:19" x14ac:dyDescent="0.3">
      <c r="S6157" s="6"/>
    </row>
    <row r="6158" spans="19:19" x14ac:dyDescent="0.3">
      <c r="S6158" s="6"/>
    </row>
    <row r="6159" spans="19:19" x14ac:dyDescent="0.3">
      <c r="S6159" s="6"/>
    </row>
    <row r="6160" spans="19:19" x14ac:dyDescent="0.3">
      <c r="S6160" s="6"/>
    </row>
    <row r="6161" spans="19:19" x14ac:dyDescent="0.3">
      <c r="S6161" s="6"/>
    </row>
    <row r="6162" spans="19:19" x14ac:dyDescent="0.3">
      <c r="S6162" s="6"/>
    </row>
    <row r="6163" spans="19:19" x14ac:dyDescent="0.3">
      <c r="S6163" s="6"/>
    </row>
    <row r="6164" spans="19:19" x14ac:dyDescent="0.3">
      <c r="S6164" s="6"/>
    </row>
    <row r="6165" spans="19:19" x14ac:dyDescent="0.3">
      <c r="S6165" s="6"/>
    </row>
    <row r="6166" spans="19:19" x14ac:dyDescent="0.3">
      <c r="S6166" s="6"/>
    </row>
    <row r="6167" spans="19:19" x14ac:dyDescent="0.3">
      <c r="S6167" s="6"/>
    </row>
    <row r="6168" spans="19:19" x14ac:dyDescent="0.3">
      <c r="S6168" s="6"/>
    </row>
    <row r="6169" spans="19:19" x14ac:dyDescent="0.3">
      <c r="S6169" s="6"/>
    </row>
    <row r="6170" spans="19:19" x14ac:dyDescent="0.3">
      <c r="S6170" s="6"/>
    </row>
    <row r="6171" spans="19:19" x14ac:dyDescent="0.3">
      <c r="S6171" s="6"/>
    </row>
    <row r="6172" spans="19:19" x14ac:dyDescent="0.3">
      <c r="S6172" s="6"/>
    </row>
    <row r="6173" spans="19:19" x14ac:dyDescent="0.3">
      <c r="S6173" s="6"/>
    </row>
    <row r="6174" spans="19:19" x14ac:dyDescent="0.3">
      <c r="S6174" s="6"/>
    </row>
    <row r="6175" spans="19:19" x14ac:dyDescent="0.3">
      <c r="S6175" s="6"/>
    </row>
    <row r="6176" spans="19:19" x14ac:dyDescent="0.3">
      <c r="S6176" s="6"/>
    </row>
    <row r="6177" spans="19:19" x14ac:dyDescent="0.3">
      <c r="S6177" s="6"/>
    </row>
    <row r="6178" spans="19:19" x14ac:dyDescent="0.3">
      <c r="S6178" s="6"/>
    </row>
    <row r="6179" spans="19:19" x14ac:dyDescent="0.3">
      <c r="S6179" s="6"/>
    </row>
    <row r="6180" spans="19:19" x14ac:dyDescent="0.3">
      <c r="S6180" s="6"/>
    </row>
    <row r="6181" spans="19:19" x14ac:dyDescent="0.3">
      <c r="S6181" s="6"/>
    </row>
    <row r="6182" spans="19:19" x14ac:dyDescent="0.3">
      <c r="S6182" s="6"/>
    </row>
    <row r="6183" spans="19:19" x14ac:dyDescent="0.3">
      <c r="S6183" s="6"/>
    </row>
    <row r="6184" spans="19:19" x14ac:dyDescent="0.3">
      <c r="S6184" s="6"/>
    </row>
    <row r="6185" spans="19:19" x14ac:dyDescent="0.3">
      <c r="S6185" s="6"/>
    </row>
    <row r="6186" spans="19:19" x14ac:dyDescent="0.3">
      <c r="S6186" s="6"/>
    </row>
    <row r="6187" spans="19:19" x14ac:dyDescent="0.3">
      <c r="S6187" s="6"/>
    </row>
    <row r="6188" spans="19:19" x14ac:dyDescent="0.3">
      <c r="S6188" s="6"/>
    </row>
    <row r="6189" spans="19:19" x14ac:dyDescent="0.3">
      <c r="S6189" s="6"/>
    </row>
    <row r="6190" spans="19:19" x14ac:dyDescent="0.3">
      <c r="S6190" s="6"/>
    </row>
    <row r="6191" spans="19:19" x14ac:dyDescent="0.3">
      <c r="S6191" s="6"/>
    </row>
    <row r="6192" spans="19:19" x14ac:dyDescent="0.3">
      <c r="S6192" s="6"/>
    </row>
    <row r="6193" spans="19:19" x14ac:dyDescent="0.3">
      <c r="S6193" s="6"/>
    </row>
    <row r="6194" spans="19:19" x14ac:dyDescent="0.3">
      <c r="S6194" s="6"/>
    </row>
    <row r="6195" spans="19:19" x14ac:dyDescent="0.3">
      <c r="S6195" s="6"/>
    </row>
    <row r="6196" spans="19:19" x14ac:dyDescent="0.3">
      <c r="S6196" s="6"/>
    </row>
    <row r="6197" spans="19:19" x14ac:dyDescent="0.3">
      <c r="S6197" s="6"/>
    </row>
    <row r="6198" spans="19:19" x14ac:dyDescent="0.3">
      <c r="S6198" s="6"/>
    </row>
    <row r="6199" spans="19:19" x14ac:dyDescent="0.3">
      <c r="S6199" s="6"/>
    </row>
    <row r="6200" spans="19:19" x14ac:dyDescent="0.3">
      <c r="S6200" s="6"/>
    </row>
    <row r="6201" spans="19:19" x14ac:dyDescent="0.3">
      <c r="S6201" s="6"/>
    </row>
    <row r="6202" spans="19:19" x14ac:dyDescent="0.3">
      <c r="S6202" s="6"/>
    </row>
    <row r="6203" spans="19:19" x14ac:dyDescent="0.3">
      <c r="S6203" s="6"/>
    </row>
    <row r="6204" spans="19:19" x14ac:dyDescent="0.3">
      <c r="S6204" s="6"/>
    </row>
    <row r="6205" spans="19:19" x14ac:dyDescent="0.3">
      <c r="S6205" s="6"/>
    </row>
    <row r="6206" spans="19:19" x14ac:dyDescent="0.3">
      <c r="S6206" s="6"/>
    </row>
    <row r="6207" spans="19:19" x14ac:dyDescent="0.3">
      <c r="S6207" s="6"/>
    </row>
    <row r="6208" spans="19:19" x14ac:dyDescent="0.3">
      <c r="S6208" s="6"/>
    </row>
    <row r="6209" spans="19:19" x14ac:dyDescent="0.3">
      <c r="S6209" s="6"/>
    </row>
    <row r="6210" spans="19:19" x14ac:dyDescent="0.3">
      <c r="S6210" s="6"/>
    </row>
    <row r="6211" spans="19:19" x14ac:dyDescent="0.3">
      <c r="S6211" s="6"/>
    </row>
    <row r="6212" spans="19:19" x14ac:dyDescent="0.3">
      <c r="S6212" s="6"/>
    </row>
    <row r="6213" spans="19:19" x14ac:dyDescent="0.3">
      <c r="S6213" s="6"/>
    </row>
    <row r="6214" spans="19:19" x14ac:dyDescent="0.3">
      <c r="S6214" s="6"/>
    </row>
    <row r="6215" spans="19:19" x14ac:dyDescent="0.3">
      <c r="S6215" s="6"/>
    </row>
    <row r="6216" spans="19:19" x14ac:dyDescent="0.3">
      <c r="S6216" s="6"/>
    </row>
    <row r="6217" spans="19:19" x14ac:dyDescent="0.3">
      <c r="S6217" s="6"/>
    </row>
    <row r="6218" spans="19:19" x14ac:dyDescent="0.3">
      <c r="S6218" s="6"/>
    </row>
    <row r="6219" spans="19:19" x14ac:dyDescent="0.3">
      <c r="S6219" s="6"/>
    </row>
    <row r="6220" spans="19:19" x14ac:dyDescent="0.3">
      <c r="S6220" s="6"/>
    </row>
    <row r="6221" spans="19:19" x14ac:dyDescent="0.3">
      <c r="S6221" s="6"/>
    </row>
    <row r="6222" spans="19:19" x14ac:dyDescent="0.3">
      <c r="S6222" s="6"/>
    </row>
    <row r="6223" spans="19:19" x14ac:dyDescent="0.3">
      <c r="S6223" s="6"/>
    </row>
    <row r="6224" spans="19:19" x14ac:dyDescent="0.3">
      <c r="S6224" s="6"/>
    </row>
    <row r="6225" spans="19:19" x14ac:dyDescent="0.3">
      <c r="S6225" s="6"/>
    </row>
    <row r="6226" spans="19:19" x14ac:dyDescent="0.3">
      <c r="S6226" s="6"/>
    </row>
    <row r="6227" spans="19:19" x14ac:dyDescent="0.3">
      <c r="S6227" s="6"/>
    </row>
    <row r="6228" spans="19:19" x14ac:dyDescent="0.3">
      <c r="S6228" s="6"/>
    </row>
    <row r="6229" spans="19:19" x14ac:dyDescent="0.3">
      <c r="S6229" s="6"/>
    </row>
    <row r="6230" spans="19:19" x14ac:dyDescent="0.3">
      <c r="S6230" s="6"/>
    </row>
    <row r="6231" spans="19:19" x14ac:dyDescent="0.3">
      <c r="S6231" s="6"/>
    </row>
    <row r="6232" spans="19:19" x14ac:dyDescent="0.3">
      <c r="S6232" s="6"/>
    </row>
    <row r="6233" spans="19:19" x14ac:dyDescent="0.3">
      <c r="S6233" s="6"/>
    </row>
    <row r="6234" spans="19:19" x14ac:dyDescent="0.3">
      <c r="S6234" s="6"/>
    </row>
    <row r="6235" spans="19:19" x14ac:dyDescent="0.3">
      <c r="S6235" s="6"/>
    </row>
    <row r="6236" spans="19:19" x14ac:dyDescent="0.3">
      <c r="S6236" s="6"/>
    </row>
    <row r="6237" spans="19:19" x14ac:dyDescent="0.3">
      <c r="S6237" s="6"/>
    </row>
    <row r="6238" spans="19:19" x14ac:dyDescent="0.3">
      <c r="S6238" s="6"/>
    </row>
    <row r="6239" spans="19:19" x14ac:dyDescent="0.3">
      <c r="S6239" s="6"/>
    </row>
    <row r="6240" spans="19:19" x14ac:dyDescent="0.3">
      <c r="S6240" s="6"/>
    </row>
    <row r="6241" spans="19:19" x14ac:dyDescent="0.3">
      <c r="S6241" s="6"/>
    </row>
    <row r="6242" spans="19:19" x14ac:dyDescent="0.3">
      <c r="S6242" s="6"/>
    </row>
    <row r="6243" spans="19:19" x14ac:dyDescent="0.3">
      <c r="S6243" s="6"/>
    </row>
    <row r="6244" spans="19:19" x14ac:dyDescent="0.3">
      <c r="S6244" s="6"/>
    </row>
    <row r="6245" spans="19:19" x14ac:dyDescent="0.3">
      <c r="S6245" s="6"/>
    </row>
    <row r="6246" spans="19:19" x14ac:dyDescent="0.3">
      <c r="S6246" s="6"/>
    </row>
    <row r="6247" spans="19:19" x14ac:dyDescent="0.3">
      <c r="S6247" s="6"/>
    </row>
    <row r="6248" spans="19:19" x14ac:dyDescent="0.3">
      <c r="S6248" s="6"/>
    </row>
    <row r="6249" spans="19:19" x14ac:dyDescent="0.3">
      <c r="S6249" s="6"/>
    </row>
    <row r="6250" spans="19:19" x14ac:dyDescent="0.3">
      <c r="S6250" s="6"/>
    </row>
    <row r="6251" spans="19:19" x14ac:dyDescent="0.3">
      <c r="S6251" s="6"/>
    </row>
    <row r="6252" spans="19:19" x14ac:dyDescent="0.3">
      <c r="S6252" s="6"/>
    </row>
    <row r="6253" spans="19:19" x14ac:dyDescent="0.3">
      <c r="S6253" s="6"/>
    </row>
    <row r="6254" spans="19:19" x14ac:dyDescent="0.3">
      <c r="S6254" s="6"/>
    </row>
    <row r="6255" spans="19:19" x14ac:dyDescent="0.3">
      <c r="S6255" s="6"/>
    </row>
    <row r="6256" spans="19:19" x14ac:dyDescent="0.3">
      <c r="S6256" s="6"/>
    </row>
    <row r="6257" spans="19:19" x14ac:dyDescent="0.3">
      <c r="S6257" s="6"/>
    </row>
    <row r="6258" spans="19:19" x14ac:dyDescent="0.3">
      <c r="S6258" s="6"/>
    </row>
    <row r="6259" spans="19:19" x14ac:dyDescent="0.3">
      <c r="S6259" s="6"/>
    </row>
    <row r="6260" spans="19:19" x14ac:dyDescent="0.3">
      <c r="S6260" s="6"/>
    </row>
    <row r="6261" spans="19:19" x14ac:dyDescent="0.3">
      <c r="S6261" s="6"/>
    </row>
    <row r="6262" spans="19:19" x14ac:dyDescent="0.3">
      <c r="S6262" s="6"/>
    </row>
    <row r="6263" spans="19:19" x14ac:dyDescent="0.3">
      <c r="S6263" s="6"/>
    </row>
    <row r="6264" spans="19:19" x14ac:dyDescent="0.3">
      <c r="S6264" s="6"/>
    </row>
    <row r="6265" spans="19:19" x14ac:dyDescent="0.3">
      <c r="S6265" s="6"/>
    </row>
    <row r="6266" spans="19:19" x14ac:dyDescent="0.3">
      <c r="S6266" s="6"/>
    </row>
    <row r="6267" spans="19:19" x14ac:dyDescent="0.3">
      <c r="S6267" s="6"/>
    </row>
    <row r="6268" spans="19:19" x14ac:dyDescent="0.3">
      <c r="S6268" s="6"/>
    </row>
    <row r="6269" spans="19:19" x14ac:dyDescent="0.3">
      <c r="S6269" s="6"/>
    </row>
    <row r="6270" spans="19:19" x14ac:dyDescent="0.3">
      <c r="S6270" s="6"/>
    </row>
    <row r="6271" spans="19:19" x14ac:dyDescent="0.3">
      <c r="S6271" s="6"/>
    </row>
    <row r="6272" spans="19:19" x14ac:dyDescent="0.3">
      <c r="S6272" s="6"/>
    </row>
    <row r="6273" spans="19:19" x14ac:dyDescent="0.3">
      <c r="S6273" s="6"/>
    </row>
    <row r="6274" spans="19:19" x14ac:dyDescent="0.3">
      <c r="S6274" s="6"/>
    </row>
    <row r="6275" spans="19:19" x14ac:dyDescent="0.3">
      <c r="S6275" s="6"/>
    </row>
    <row r="6276" spans="19:19" x14ac:dyDescent="0.3">
      <c r="S6276" s="6"/>
    </row>
    <row r="6277" spans="19:19" x14ac:dyDescent="0.3">
      <c r="S6277" s="6"/>
    </row>
    <row r="6278" spans="19:19" x14ac:dyDescent="0.3">
      <c r="S6278" s="6"/>
    </row>
    <row r="6279" spans="19:19" x14ac:dyDescent="0.3">
      <c r="S6279" s="6"/>
    </row>
    <row r="6280" spans="19:19" x14ac:dyDescent="0.3">
      <c r="S6280" s="6"/>
    </row>
    <row r="6281" spans="19:19" x14ac:dyDescent="0.3">
      <c r="S6281" s="6"/>
    </row>
    <row r="6282" spans="19:19" x14ac:dyDescent="0.3">
      <c r="S6282" s="6"/>
    </row>
    <row r="6283" spans="19:19" x14ac:dyDescent="0.3">
      <c r="S6283" s="6"/>
    </row>
    <row r="6284" spans="19:19" x14ac:dyDescent="0.3">
      <c r="S6284" s="6"/>
    </row>
    <row r="6285" spans="19:19" x14ac:dyDescent="0.3">
      <c r="S6285" s="6"/>
    </row>
    <row r="6286" spans="19:19" x14ac:dyDescent="0.3">
      <c r="S6286" s="6"/>
    </row>
    <row r="6287" spans="19:19" x14ac:dyDescent="0.3">
      <c r="S6287" s="6"/>
    </row>
    <row r="6288" spans="19:19" x14ac:dyDescent="0.3">
      <c r="S6288" s="6"/>
    </row>
    <row r="6289" spans="19:19" x14ac:dyDescent="0.3">
      <c r="S6289" s="6"/>
    </row>
    <row r="6290" spans="19:19" x14ac:dyDescent="0.3">
      <c r="S6290" s="6"/>
    </row>
    <row r="6291" spans="19:19" x14ac:dyDescent="0.3">
      <c r="S6291" s="6"/>
    </row>
    <row r="6292" spans="19:19" x14ac:dyDescent="0.3">
      <c r="S6292" s="6"/>
    </row>
    <row r="6293" spans="19:19" x14ac:dyDescent="0.3">
      <c r="S6293" s="6"/>
    </row>
    <row r="6294" spans="19:19" x14ac:dyDescent="0.3">
      <c r="S6294" s="6"/>
    </row>
    <row r="6295" spans="19:19" x14ac:dyDescent="0.3">
      <c r="S6295" s="6"/>
    </row>
    <row r="6296" spans="19:19" x14ac:dyDescent="0.3">
      <c r="S6296" s="6"/>
    </row>
    <row r="6297" spans="19:19" x14ac:dyDescent="0.3">
      <c r="S6297" s="6"/>
    </row>
    <row r="6298" spans="19:19" x14ac:dyDescent="0.3">
      <c r="S6298" s="6"/>
    </row>
    <row r="6299" spans="19:19" x14ac:dyDescent="0.3">
      <c r="S6299" s="6"/>
    </row>
    <row r="6300" spans="19:19" x14ac:dyDescent="0.3">
      <c r="S6300" s="6"/>
    </row>
    <row r="6301" spans="19:19" x14ac:dyDescent="0.3">
      <c r="S6301" s="6"/>
    </row>
    <row r="6302" spans="19:19" x14ac:dyDescent="0.3">
      <c r="S6302" s="6"/>
    </row>
    <row r="6303" spans="19:19" x14ac:dyDescent="0.3">
      <c r="S6303" s="6"/>
    </row>
    <row r="6304" spans="19:19" x14ac:dyDescent="0.3">
      <c r="S6304" s="6"/>
    </row>
    <row r="6305" spans="19:19" x14ac:dyDescent="0.3">
      <c r="S6305" s="6"/>
    </row>
    <row r="6306" spans="19:19" x14ac:dyDescent="0.3">
      <c r="S6306" s="6"/>
    </row>
    <row r="6307" spans="19:19" x14ac:dyDescent="0.3">
      <c r="S6307" s="6"/>
    </row>
    <row r="6308" spans="19:19" x14ac:dyDescent="0.3">
      <c r="S6308" s="6"/>
    </row>
    <row r="6309" spans="19:19" x14ac:dyDescent="0.3">
      <c r="S6309" s="6"/>
    </row>
    <row r="6310" spans="19:19" x14ac:dyDescent="0.3">
      <c r="S6310" s="6"/>
    </row>
    <row r="6311" spans="19:19" x14ac:dyDescent="0.3">
      <c r="S6311" s="6"/>
    </row>
    <row r="6312" spans="19:19" x14ac:dyDescent="0.3">
      <c r="S6312" s="6"/>
    </row>
    <row r="6313" spans="19:19" x14ac:dyDescent="0.3">
      <c r="S6313" s="6"/>
    </row>
    <row r="6314" spans="19:19" x14ac:dyDescent="0.3">
      <c r="S6314" s="6"/>
    </row>
    <row r="6315" spans="19:19" x14ac:dyDescent="0.3">
      <c r="S6315" s="6"/>
    </row>
    <row r="6316" spans="19:19" x14ac:dyDescent="0.3">
      <c r="S6316" s="6"/>
    </row>
    <row r="6317" spans="19:19" x14ac:dyDescent="0.3">
      <c r="S6317" s="6"/>
    </row>
    <row r="6318" spans="19:19" x14ac:dyDescent="0.3">
      <c r="S6318" s="6"/>
    </row>
    <row r="6319" spans="19:19" x14ac:dyDescent="0.3">
      <c r="S6319" s="6"/>
    </row>
    <row r="6320" spans="19:19" x14ac:dyDescent="0.3">
      <c r="S6320" s="6"/>
    </row>
    <row r="6321" spans="19:19" x14ac:dyDescent="0.3">
      <c r="S6321" s="6"/>
    </row>
    <row r="6322" spans="19:19" x14ac:dyDescent="0.3">
      <c r="S6322" s="6"/>
    </row>
    <row r="6323" spans="19:19" x14ac:dyDescent="0.3">
      <c r="S6323" s="6"/>
    </row>
    <row r="6324" spans="19:19" x14ac:dyDescent="0.3">
      <c r="S6324" s="6"/>
    </row>
    <row r="6325" spans="19:19" x14ac:dyDescent="0.3">
      <c r="S6325" s="6"/>
    </row>
    <row r="6326" spans="19:19" x14ac:dyDescent="0.3">
      <c r="S6326" s="6"/>
    </row>
    <row r="6327" spans="19:19" x14ac:dyDescent="0.3">
      <c r="S6327" s="6"/>
    </row>
    <row r="6328" spans="19:19" x14ac:dyDescent="0.3">
      <c r="S6328" s="6"/>
    </row>
    <row r="6329" spans="19:19" x14ac:dyDescent="0.3">
      <c r="S6329" s="6"/>
    </row>
    <row r="6330" spans="19:19" x14ac:dyDescent="0.3">
      <c r="S6330" s="6"/>
    </row>
    <row r="6331" spans="19:19" x14ac:dyDescent="0.3">
      <c r="S6331" s="6"/>
    </row>
    <row r="6332" spans="19:19" x14ac:dyDescent="0.3">
      <c r="S6332" s="6"/>
    </row>
    <row r="6333" spans="19:19" x14ac:dyDescent="0.3">
      <c r="S6333" s="6"/>
    </row>
    <row r="6334" spans="19:19" x14ac:dyDescent="0.3">
      <c r="S6334" s="6"/>
    </row>
    <row r="6335" spans="19:19" x14ac:dyDescent="0.3">
      <c r="S6335" s="6"/>
    </row>
    <row r="6336" spans="19:19" x14ac:dyDescent="0.3">
      <c r="S6336" s="6"/>
    </row>
    <row r="6337" spans="19:19" x14ac:dyDescent="0.3">
      <c r="S6337" s="6"/>
    </row>
    <row r="6338" spans="19:19" x14ac:dyDescent="0.3">
      <c r="S6338" s="6"/>
    </row>
    <row r="6339" spans="19:19" x14ac:dyDescent="0.3">
      <c r="S6339" s="6"/>
    </row>
    <row r="6340" spans="19:19" x14ac:dyDescent="0.3">
      <c r="S6340" s="6"/>
    </row>
    <row r="6341" spans="19:19" x14ac:dyDescent="0.3">
      <c r="S6341" s="6"/>
    </row>
    <row r="6342" spans="19:19" x14ac:dyDescent="0.3">
      <c r="S6342" s="6"/>
    </row>
    <row r="6343" spans="19:19" x14ac:dyDescent="0.3">
      <c r="S6343" s="6"/>
    </row>
    <row r="6344" spans="19:19" x14ac:dyDescent="0.3">
      <c r="S6344" s="6"/>
    </row>
    <row r="6345" spans="19:19" x14ac:dyDescent="0.3">
      <c r="S6345" s="6"/>
    </row>
    <row r="6346" spans="19:19" x14ac:dyDescent="0.3">
      <c r="S6346" s="6"/>
    </row>
    <row r="6347" spans="19:19" x14ac:dyDescent="0.3">
      <c r="S6347" s="6"/>
    </row>
    <row r="6348" spans="19:19" x14ac:dyDescent="0.3">
      <c r="S6348" s="6"/>
    </row>
    <row r="6349" spans="19:19" x14ac:dyDescent="0.3">
      <c r="S6349" s="6"/>
    </row>
    <row r="6350" spans="19:19" x14ac:dyDescent="0.3">
      <c r="S6350" s="6"/>
    </row>
    <row r="6351" spans="19:19" x14ac:dyDescent="0.3">
      <c r="S6351" s="6"/>
    </row>
    <row r="6352" spans="19:19" x14ac:dyDescent="0.3">
      <c r="S6352" s="6"/>
    </row>
    <row r="6353" spans="19:19" x14ac:dyDescent="0.3">
      <c r="S6353" s="6"/>
    </row>
    <row r="6354" spans="19:19" x14ac:dyDescent="0.3">
      <c r="S6354" s="6"/>
    </row>
    <row r="6355" spans="19:19" x14ac:dyDescent="0.3">
      <c r="S6355" s="6"/>
    </row>
    <row r="6356" spans="19:19" x14ac:dyDescent="0.3">
      <c r="S6356" s="6"/>
    </row>
    <row r="6357" spans="19:19" x14ac:dyDescent="0.3">
      <c r="S6357" s="6"/>
    </row>
    <row r="6358" spans="19:19" x14ac:dyDescent="0.3">
      <c r="S6358" s="6"/>
    </row>
    <row r="6359" spans="19:19" x14ac:dyDescent="0.3">
      <c r="S6359" s="6"/>
    </row>
    <row r="6360" spans="19:19" x14ac:dyDescent="0.3">
      <c r="S6360" s="6"/>
    </row>
    <row r="6361" spans="19:19" x14ac:dyDescent="0.3">
      <c r="S6361" s="6"/>
    </row>
    <row r="6362" spans="19:19" x14ac:dyDescent="0.3">
      <c r="S6362" s="6"/>
    </row>
    <row r="6363" spans="19:19" x14ac:dyDescent="0.3">
      <c r="S6363" s="6"/>
    </row>
    <row r="6364" spans="19:19" x14ac:dyDescent="0.3">
      <c r="S6364" s="6"/>
    </row>
    <row r="6365" spans="19:19" x14ac:dyDescent="0.3">
      <c r="S6365" s="6"/>
    </row>
    <row r="6366" spans="19:19" x14ac:dyDescent="0.3">
      <c r="S6366" s="6"/>
    </row>
    <row r="6367" spans="19:19" x14ac:dyDescent="0.3">
      <c r="S6367" s="6"/>
    </row>
    <row r="6368" spans="19:19" x14ac:dyDescent="0.3">
      <c r="S6368" s="6"/>
    </row>
    <row r="6369" spans="19:19" x14ac:dyDescent="0.3">
      <c r="S6369" s="6"/>
    </row>
    <row r="6370" spans="19:19" x14ac:dyDescent="0.3">
      <c r="S6370" s="6"/>
    </row>
    <row r="6371" spans="19:19" x14ac:dyDescent="0.3">
      <c r="S6371" s="6"/>
    </row>
    <row r="6372" spans="19:19" x14ac:dyDescent="0.3">
      <c r="S6372" s="6"/>
    </row>
    <row r="6373" spans="19:19" x14ac:dyDescent="0.3">
      <c r="S6373" s="6"/>
    </row>
    <row r="6374" spans="19:19" x14ac:dyDescent="0.3">
      <c r="S6374" s="6"/>
    </row>
    <row r="6375" spans="19:19" x14ac:dyDescent="0.3">
      <c r="S6375" s="6"/>
    </row>
    <row r="6376" spans="19:19" x14ac:dyDescent="0.3">
      <c r="S6376" s="6"/>
    </row>
    <row r="6377" spans="19:19" x14ac:dyDescent="0.3">
      <c r="S6377" s="6"/>
    </row>
    <row r="6378" spans="19:19" x14ac:dyDescent="0.3">
      <c r="S6378" s="6"/>
    </row>
    <row r="6379" spans="19:19" x14ac:dyDescent="0.3">
      <c r="S6379" s="6"/>
    </row>
    <row r="6380" spans="19:19" x14ac:dyDescent="0.3">
      <c r="S6380" s="6"/>
    </row>
    <row r="6381" spans="19:19" x14ac:dyDescent="0.3">
      <c r="S6381" s="6"/>
    </row>
    <row r="6382" spans="19:19" x14ac:dyDescent="0.3">
      <c r="S6382" s="6"/>
    </row>
    <row r="6383" spans="19:19" x14ac:dyDescent="0.3">
      <c r="S6383" s="6"/>
    </row>
    <row r="6384" spans="19:19" x14ac:dyDescent="0.3">
      <c r="S6384" s="6"/>
    </row>
    <row r="6385" spans="19:19" x14ac:dyDescent="0.3">
      <c r="S6385" s="6"/>
    </row>
    <row r="6386" spans="19:19" x14ac:dyDescent="0.3">
      <c r="S6386" s="6"/>
    </row>
    <row r="6387" spans="19:19" x14ac:dyDescent="0.3">
      <c r="S6387" s="6"/>
    </row>
    <row r="6388" spans="19:19" x14ac:dyDescent="0.3">
      <c r="S6388" s="6"/>
    </row>
    <row r="6389" spans="19:19" x14ac:dyDescent="0.3">
      <c r="S6389" s="6"/>
    </row>
    <row r="6390" spans="19:19" x14ac:dyDescent="0.3">
      <c r="S6390" s="6"/>
    </row>
    <row r="6391" spans="19:19" x14ac:dyDescent="0.3">
      <c r="S6391" s="6"/>
    </row>
    <row r="6392" spans="19:19" x14ac:dyDescent="0.3">
      <c r="S6392" s="6"/>
    </row>
    <row r="6393" spans="19:19" x14ac:dyDescent="0.3">
      <c r="S6393" s="6"/>
    </row>
    <row r="6394" spans="19:19" x14ac:dyDescent="0.3">
      <c r="S6394" s="6"/>
    </row>
    <row r="6395" spans="19:19" x14ac:dyDescent="0.3">
      <c r="S6395" s="6"/>
    </row>
    <row r="6396" spans="19:19" x14ac:dyDescent="0.3">
      <c r="S6396" s="6"/>
    </row>
    <row r="6397" spans="19:19" x14ac:dyDescent="0.3">
      <c r="S6397" s="6"/>
    </row>
    <row r="6398" spans="19:19" x14ac:dyDescent="0.3">
      <c r="S6398" s="6"/>
    </row>
    <row r="6399" spans="19:19" x14ac:dyDescent="0.3">
      <c r="S6399" s="6"/>
    </row>
    <row r="6400" spans="19:19" x14ac:dyDescent="0.3">
      <c r="S6400" s="6"/>
    </row>
    <row r="6401" spans="19:19" x14ac:dyDescent="0.3">
      <c r="S6401" s="6"/>
    </row>
    <row r="6402" spans="19:19" x14ac:dyDescent="0.3">
      <c r="S6402" s="6"/>
    </row>
    <row r="6403" spans="19:19" x14ac:dyDescent="0.3">
      <c r="S6403" s="6"/>
    </row>
    <row r="6404" spans="19:19" x14ac:dyDescent="0.3">
      <c r="S6404" s="6"/>
    </row>
    <row r="6405" spans="19:19" x14ac:dyDescent="0.3">
      <c r="S6405" s="6"/>
    </row>
    <row r="6406" spans="19:19" x14ac:dyDescent="0.3">
      <c r="S6406" s="6"/>
    </row>
    <row r="6407" spans="19:19" x14ac:dyDescent="0.3">
      <c r="S6407" s="6"/>
    </row>
    <row r="6408" spans="19:19" x14ac:dyDescent="0.3">
      <c r="S6408" s="6"/>
    </row>
    <row r="6409" spans="19:19" x14ac:dyDescent="0.3">
      <c r="S6409" s="6"/>
    </row>
    <row r="6410" spans="19:19" x14ac:dyDescent="0.3">
      <c r="S6410" s="6"/>
    </row>
    <row r="6411" spans="19:19" x14ac:dyDescent="0.3">
      <c r="S6411" s="6"/>
    </row>
    <row r="6412" spans="19:19" x14ac:dyDescent="0.3">
      <c r="S6412" s="6"/>
    </row>
    <row r="6413" spans="19:19" x14ac:dyDescent="0.3">
      <c r="S6413" s="6"/>
    </row>
    <row r="6414" spans="19:19" x14ac:dyDescent="0.3">
      <c r="S6414" s="6"/>
    </row>
    <row r="6415" spans="19:19" x14ac:dyDescent="0.3">
      <c r="S6415" s="6"/>
    </row>
    <row r="6416" spans="19:19" x14ac:dyDescent="0.3">
      <c r="S6416" s="6"/>
    </row>
    <row r="6417" spans="19:19" x14ac:dyDescent="0.3">
      <c r="S6417" s="6"/>
    </row>
    <row r="6418" spans="19:19" x14ac:dyDescent="0.3">
      <c r="S6418" s="6"/>
    </row>
    <row r="6419" spans="19:19" x14ac:dyDescent="0.3">
      <c r="S6419" s="6"/>
    </row>
    <row r="6420" spans="19:19" x14ac:dyDescent="0.3">
      <c r="S6420" s="6"/>
    </row>
    <row r="6421" spans="19:19" x14ac:dyDescent="0.3">
      <c r="S6421" s="6"/>
    </row>
    <row r="6422" spans="19:19" x14ac:dyDescent="0.3">
      <c r="S6422" s="6"/>
    </row>
    <row r="6423" spans="19:19" x14ac:dyDescent="0.3">
      <c r="S6423" s="6"/>
    </row>
    <row r="6424" spans="19:19" x14ac:dyDescent="0.3">
      <c r="S6424" s="6"/>
    </row>
    <row r="6425" spans="19:19" x14ac:dyDescent="0.3">
      <c r="S6425" s="6"/>
    </row>
    <row r="6426" spans="19:19" x14ac:dyDescent="0.3">
      <c r="S6426" s="6"/>
    </row>
    <row r="6427" spans="19:19" x14ac:dyDescent="0.3">
      <c r="S6427" s="6"/>
    </row>
    <row r="6428" spans="19:19" x14ac:dyDescent="0.3">
      <c r="S6428" s="6"/>
    </row>
    <row r="6429" spans="19:19" x14ac:dyDescent="0.3">
      <c r="S6429" s="6"/>
    </row>
    <row r="6430" spans="19:19" x14ac:dyDescent="0.3">
      <c r="S6430" s="6"/>
    </row>
    <row r="6431" spans="19:19" x14ac:dyDescent="0.3">
      <c r="S6431" s="6"/>
    </row>
    <row r="6432" spans="19:19" x14ac:dyDescent="0.3">
      <c r="S6432" s="6"/>
    </row>
    <row r="6433" spans="19:19" x14ac:dyDescent="0.3">
      <c r="S6433" s="6"/>
    </row>
    <row r="6434" spans="19:19" x14ac:dyDescent="0.3">
      <c r="S6434" s="6"/>
    </row>
    <row r="6435" spans="19:19" x14ac:dyDescent="0.3">
      <c r="S6435" s="6"/>
    </row>
    <row r="6436" spans="19:19" x14ac:dyDescent="0.3">
      <c r="S6436" s="6"/>
    </row>
    <row r="6437" spans="19:19" x14ac:dyDescent="0.3">
      <c r="S6437" s="6"/>
    </row>
    <row r="6438" spans="19:19" x14ac:dyDescent="0.3">
      <c r="S6438" s="6"/>
    </row>
    <row r="6439" spans="19:19" x14ac:dyDescent="0.3">
      <c r="S6439" s="6"/>
    </row>
    <row r="6440" spans="19:19" x14ac:dyDescent="0.3">
      <c r="S6440" s="6"/>
    </row>
    <row r="6441" spans="19:19" x14ac:dyDescent="0.3">
      <c r="S6441" s="6"/>
    </row>
    <row r="6442" spans="19:19" x14ac:dyDescent="0.3">
      <c r="S6442" s="6"/>
    </row>
    <row r="6443" spans="19:19" x14ac:dyDescent="0.3">
      <c r="S6443" s="6"/>
    </row>
    <row r="6444" spans="19:19" x14ac:dyDescent="0.3">
      <c r="S6444" s="6"/>
    </row>
    <row r="6445" spans="19:19" x14ac:dyDescent="0.3">
      <c r="S6445" s="6"/>
    </row>
    <row r="6446" spans="19:19" x14ac:dyDescent="0.3">
      <c r="S6446" s="6"/>
    </row>
    <row r="6447" spans="19:19" x14ac:dyDescent="0.3">
      <c r="S6447" s="6"/>
    </row>
    <row r="6448" spans="19:19" x14ac:dyDescent="0.3">
      <c r="S6448" s="6"/>
    </row>
    <row r="6449" spans="19:19" x14ac:dyDescent="0.3">
      <c r="S6449" s="6"/>
    </row>
    <row r="6450" spans="19:19" x14ac:dyDescent="0.3">
      <c r="S6450" s="6"/>
    </row>
    <row r="6451" spans="19:19" x14ac:dyDescent="0.3">
      <c r="S6451" s="6"/>
    </row>
    <row r="6452" spans="19:19" x14ac:dyDescent="0.3">
      <c r="S6452" s="6"/>
    </row>
    <row r="6453" spans="19:19" x14ac:dyDescent="0.3">
      <c r="S6453" s="6"/>
    </row>
    <row r="6454" spans="19:19" x14ac:dyDescent="0.3">
      <c r="S6454" s="6"/>
    </row>
    <row r="6455" spans="19:19" x14ac:dyDescent="0.3">
      <c r="S6455" s="6"/>
    </row>
    <row r="6456" spans="19:19" x14ac:dyDescent="0.3">
      <c r="S6456" s="6"/>
    </row>
    <row r="6457" spans="19:19" x14ac:dyDescent="0.3">
      <c r="S6457" s="6"/>
    </row>
    <row r="6458" spans="19:19" x14ac:dyDescent="0.3">
      <c r="S6458" s="6"/>
    </row>
    <row r="6459" spans="19:19" x14ac:dyDescent="0.3">
      <c r="S6459" s="6"/>
    </row>
    <row r="6460" spans="19:19" x14ac:dyDescent="0.3">
      <c r="S6460" s="6"/>
    </row>
    <row r="6461" spans="19:19" x14ac:dyDescent="0.3">
      <c r="S6461" s="6"/>
    </row>
    <row r="6462" spans="19:19" x14ac:dyDescent="0.3">
      <c r="S6462" s="6"/>
    </row>
    <row r="6463" spans="19:19" x14ac:dyDescent="0.3">
      <c r="S6463" s="6"/>
    </row>
    <row r="6464" spans="19:19" x14ac:dyDescent="0.3">
      <c r="S6464" s="6"/>
    </row>
    <row r="6465" spans="19:19" x14ac:dyDescent="0.3">
      <c r="S6465" s="6"/>
    </row>
    <row r="6466" spans="19:19" x14ac:dyDescent="0.3">
      <c r="S6466" s="6"/>
    </row>
    <row r="6467" spans="19:19" x14ac:dyDescent="0.3">
      <c r="S6467" s="6"/>
    </row>
    <row r="6468" spans="19:19" x14ac:dyDescent="0.3">
      <c r="S6468" s="6"/>
    </row>
    <row r="6469" spans="19:19" x14ac:dyDescent="0.3">
      <c r="S6469" s="6"/>
    </row>
    <row r="6470" spans="19:19" x14ac:dyDescent="0.3">
      <c r="S6470" s="6"/>
    </row>
    <row r="6471" spans="19:19" x14ac:dyDescent="0.3">
      <c r="S6471" s="6"/>
    </row>
    <row r="6472" spans="19:19" x14ac:dyDescent="0.3">
      <c r="S6472" s="6"/>
    </row>
    <row r="6473" spans="19:19" x14ac:dyDescent="0.3">
      <c r="S6473" s="6"/>
    </row>
    <row r="6474" spans="19:19" x14ac:dyDescent="0.3">
      <c r="S6474" s="6"/>
    </row>
    <row r="6475" spans="19:19" x14ac:dyDescent="0.3">
      <c r="S6475" s="6"/>
    </row>
    <row r="6476" spans="19:19" x14ac:dyDescent="0.3">
      <c r="S6476" s="6"/>
    </row>
    <row r="6477" spans="19:19" x14ac:dyDescent="0.3">
      <c r="S6477" s="6"/>
    </row>
    <row r="6478" spans="19:19" x14ac:dyDescent="0.3">
      <c r="S6478" s="6"/>
    </row>
    <row r="6479" spans="19:19" x14ac:dyDescent="0.3">
      <c r="S6479" s="6"/>
    </row>
    <row r="6480" spans="19:19" x14ac:dyDescent="0.3">
      <c r="S6480" s="6"/>
    </row>
    <row r="6481" spans="19:19" x14ac:dyDescent="0.3">
      <c r="S6481" s="6"/>
    </row>
    <row r="6482" spans="19:19" x14ac:dyDescent="0.3">
      <c r="S6482" s="6"/>
    </row>
    <row r="6483" spans="19:19" x14ac:dyDescent="0.3">
      <c r="S6483" s="6"/>
    </row>
    <row r="6484" spans="19:19" x14ac:dyDescent="0.3">
      <c r="S6484" s="6"/>
    </row>
    <row r="6485" spans="19:19" x14ac:dyDescent="0.3">
      <c r="S6485" s="6"/>
    </row>
    <row r="6486" spans="19:19" x14ac:dyDescent="0.3">
      <c r="S6486" s="6"/>
    </row>
    <row r="6487" spans="19:19" x14ac:dyDescent="0.3">
      <c r="S6487" s="6"/>
    </row>
    <row r="6488" spans="19:19" x14ac:dyDescent="0.3">
      <c r="S6488" s="6"/>
    </row>
    <row r="6489" spans="19:19" x14ac:dyDescent="0.3">
      <c r="S6489" s="6"/>
    </row>
    <row r="6490" spans="19:19" x14ac:dyDescent="0.3">
      <c r="S6490" s="6"/>
    </row>
    <row r="6491" spans="19:19" x14ac:dyDescent="0.3">
      <c r="S6491" s="6"/>
    </row>
    <row r="6492" spans="19:19" x14ac:dyDescent="0.3">
      <c r="S6492" s="6"/>
    </row>
    <row r="6493" spans="19:19" x14ac:dyDescent="0.3">
      <c r="S6493" s="6"/>
    </row>
    <row r="6494" spans="19:19" x14ac:dyDescent="0.3">
      <c r="S6494" s="6"/>
    </row>
    <row r="6495" spans="19:19" x14ac:dyDescent="0.3">
      <c r="S6495" s="6"/>
    </row>
    <row r="6496" spans="19:19" x14ac:dyDescent="0.3">
      <c r="S6496" s="6"/>
    </row>
    <row r="6497" spans="19:19" x14ac:dyDescent="0.3">
      <c r="S6497" s="6"/>
    </row>
    <row r="6498" spans="19:19" x14ac:dyDescent="0.3">
      <c r="S6498" s="6"/>
    </row>
    <row r="6499" spans="19:19" x14ac:dyDescent="0.3">
      <c r="S6499" s="6"/>
    </row>
    <row r="6500" spans="19:19" x14ac:dyDescent="0.3">
      <c r="S6500" s="6"/>
    </row>
    <row r="6501" spans="19:19" x14ac:dyDescent="0.3">
      <c r="S6501" s="6"/>
    </row>
    <row r="6502" spans="19:19" x14ac:dyDescent="0.3">
      <c r="S6502" s="6"/>
    </row>
    <row r="6503" spans="19:19" x14ac:dyDescent="0.3">
      <c r="S6503" s="6"/>
    </row>
    <row r="6504" spans="19:19" x14ac:dyDescent="0.3">
      <c r="S6504" s="6"/>
    </row>
    <row r="6505" spans="19:19" x14ac:dyDescent="0.3">
      <c r="S6505" s="6"/>
    </row>
    <row r="6506" spans="19:19" x14ac:dyDescent="0.3">
      <c r="S6506" s="6"/>
    </row>
    <row r="6507" spans="19:19" x14ac:dyDescent="0.3">
      <c r="S6507" s="6"/>
    </row>
    <row r="6508" spans="19:19" x14ac:dyDescent="0.3">
      <c r="S6508" s="6"/>
    </row>
    <row r="6509" spans="19:19" x14ac:dyDescent="0.3">
      <c r="S6509" s="6"/>
    </row>
    <row r="6510" spans="19:19" x14ac:dyDescent="0.3">
      <c r="S6510" s="6"/>
    </row>
    <row r="6511" spans="19:19" x14ac:dyDescent="0.3">
      <c r="S6511" s="6"/>
    </row>
    <row r="6512" spans="19:19" x14ac:dyDescent="0.3">
      <c r="S6512" s="6"/>
    </row>
    <row r="6513" spans="19:19" x14ac:dyDescent="0.3">
      <c r="S6513" s="6"/>
    </row>
    <row r="6514" spans="19:19" x14ac:dyDescent="0.3">
      <c r="S6514" s="6"/>
    </row>
    <row r="6515" spans="19:19" x14ac:dyDescent="0.3">
      <c r="S6515" s="6"/>
    </row>
    <row r="6516" spans="19:19" x14ac:dyDescent="0.3">
      <c r="S6516" s="6"/>
    </row>
    <row r="6517" spans="19:19" x14ac:dyDescent="0.3">
      <c r="S6517" s="6"/>
    </row>
    <row r="6518" spans="19:19" x14ac:dyDescent="0.3">
      <c r="S6518" s="6"/>
    </row>
    <row r="6519" spans="19:19" x14ac:dyDescent="0.3">
      <c r="S6519" s="6"/>
    </row>
    <row r="6520" spans="19:19" x14ac:dyDescent="0.3">
      <c r="S6520" s="6"/>
    </row>
    <row r="6521" spans="19:19" x14ac:dyDescent="0.3">
      <c r="S6521" s="6"/>
    </row>
    <row r="6522" spans="19:19" x14ac:dyDescent="0.3">
      <c r="S6522" s="6"/>
    </row>
    <row r="6523" spans="19:19" x14ac:dyDescent="0.3">
      <c r="S6523" s="6"/>
    </row>
    <row r="6524" spans="19:19" x14ac:dyDescent="0.3">
      <c r="S6524" s="6"/>
    </row>
    <row r="6525" spans="19:19" x14ac:dyDescent="0.3">
      <c r="S6525" s="6"/>
    </row>
    <row r="6526" spans="19:19" x14ac:dyDescent="0.3">
      <c r="S6526" s="6"/>
    </row>
    <row r="6527" spans="19:19" x14ac:dyDescent="0.3">
      <c r="S6527" s="6"/>
    </row>
    <row r="6528" spans="19:19" x14ac:dyDescent="0.3">
      <c r="S6528" s="6"/>
    </row>
    <row r="6529" spans="19:19" x14ac:dyDescent="0.3">
      <c r="S6529" s="6"/>
    </row>
    <row r="6530" spans="19:19" x14ac:dyDescent="0.3">
      <c r="S6530" s="6"/>
    </row>
    <row r="6531" spans="19:19" x14ac:dyDescent="0.3">
      <c r="S6531" s="6"/>
    </row>
    <row r="6532" spans="19:19" x14ac:dyDescent="0.3">
      <c r="S6532" s="6"/>
    </row>
    <row r="6533" spans="19:19" x14ac:dyDescent="0.3">
      <c r="S6533" s="6"/>
    </row>
    <row r="6534" spans="19:19" x14ac:dyDescent="0.3">
      <c r="S6534" s="6"/>
    </row>
    <row r="6535" spans="19:19" x14ac:dyDescent="0.3">
      <c r="S6535" s="6"/>
    </row>
    <row r="6536" spans="19:19" x14ac:dyDescent="0.3">
      <c r="S6536" s="6"/>
    </row>
    <row r="6537" spans="19:19" x14ac:dyDescent="0.3">
      <c r="S6537" s="6"/>
    </row>
    <row r="6538" spans="19:19" x14ac:dyDescent="0.3">
      <c r="S6538" s="6"/>
    </row>
    <row r="6539" spans="19:19" x14ac:dyDescent="0.3">
      <c r="S6539" s="6"/>
    </row>
    <row r="6540" spans="19:19" x14ac:dyDescent="0.3">
      <c r="S6540" s="6"/>
    </row>
    <row r="6541" spans="19:19" x14ac:dyDescent="0.3">
      <c r="S6541" s="6"/>
    </row>
    <row r="6542" spans="19:19" x14ac:dyDescent="0.3">
      <c r="S6542" s="6"/>
    </row>
    <row r="6543" spans="19:19" x14ac:dyDescent="0.3">
      <c r="S6543" s="6"/>
    </row>
    <row r="6544" spans="19:19" x14ac:dyDescent="0.3">
      <c r="S6544" s="6"/>
    </row>
    <row r="6545" spans="19:19" x14ac:dyDescent="0.3">
      <c r="S6545" s="6"/>
    </row>
    <row r="6546" spans="19:19" x14ac:dyDescent="0.3">
      <c r="S6546" s="6"/>
    </row>
    <row r="6547" spans="19:19" x14ac:dyDescent="0.3">
      <c r="S6547" s="6"/>
    </row>
    <row r="6548" spans="19:19" x14ac:dyDescent="0.3">
      <c r="S6548" s="6"/>
    </row>
    <row r="6549" spans="19:19" x14ac:dyDescent="0.3">
      <c r="S6549" s="6"/>
    </row>
    <row r="6550" spans="19:19" x14ac:dyDescent="0.3">
      <c r="S6550" s="6"/>
    </row>
    <row r="6551" spans="19:19" x14ac:dyDescent="0.3">
      <c r="S6551" s="6"/>
    </row>
    <row r="6552" spans="19:19" x14ac:dyDescent="0.3">
      <c r="S6552" s="6"/>
    </row>
    <row r="6553" spans="19:19" x14ac:dyDescent="0.3">
      <c r="S6553" s="6"/>
    </row>
    <row r="6554" spans="19:19" x14ac:dyDescent="0.3">
      <c r="S6554" s="6"/>
    </row>
    <row r="6555" spans="19:19" x14ac:dyDescent="0.3">
      <c r="S6555" s="6"/>
    </row>
    <row r="6556" spans="19:19" x14ac:dyDescent="0.3">
      <c r="S6556" s="6"/>
    </row>
    <row r="6557" spans="19:19" x14ac:dyDescent="0.3">
      <c r="S6557" s="6"/>
    </row>
    <row r="6558" spans="19:19" x14ac:dyDescent="0.3">
      <c r="S6558" s="6"/>
    </row>
    <row r="6559" spans="19:19" x14ac:dyDescent="0.3">
      <c r="S6559" s="6"/>
    </row>
    <row r="6560" spans="19:19" x14ac:dyDescent="0.3">
      <c r="S6560" s="6"/>
    </row>
    <row r="6561" spans="19:19" x14ac:dyDescent="0.3">
      <c r="S6561" s="6"/>
    </row>
    <row r="6562" spans="19:19" x14ac:dyDescent="0.3">
      <c r="S6562" s="6"/>
    </row>
    <row r="6563" spans="19:19" x14ac:dyDescent="0.3">
      <c r="S6563" s="6"/>
    </row>
    <row r="6564" spans="19:19" x14ac:dyDescent="0.3">
      <c r="S6564" s="6"/>
    </row>
    <row r="6565" spans="19:19" x14ac:dyDescent="0.3">
      <c r="S6565" s="6"/>
    </row>
    <row r="6566" spans="19:19" x14ac:dyDescent="0.3">
      <c r="S6566" s="6"/>
    </row>
    <row r="6567" spans="19:19" x14ac:dyDescent="0.3">
      <c r="S6567" s="6"/>
    </row>
    <row r="6568" spans="19:19" x14ac:dyDescent="0.3">
      <c r="S6568" s="6"/>
    </row>
    <row r="6569" spans="19:19" x14ac:dyDescent="0.3">
      <c r="S6569" s="6"/>
    </row>
    <row r="6570" spans="19:19" x14ac:dyDescent="0.3">
      <c r="S6570" s="6"/>
    </row>
    <row r="6571" spans="19:19" x14ac:dyDescent="0.3">
      <c r="S6571" s="6"/>
    </row>
    <row r="6572" spans="19:19" x14ac:dyDescent="0.3">
      <c r="S6572" s="6"/>
    </row>
    <row r="6573" spans="19:19" x14ac:dyDescent="0.3">
      <c r="S6573" s="6"/>
    </row>
    <row r="6574" spans="19:19" x14ac:dyDescent="0.3">
      <c r="S6574" s="6"/>
    </row>
    <row r="6575" spans="19:19" x14ac:dyDescent="0.3">
      <c r="S6575" s="6"/>
    </row>
    <row r="6576" spans="19:19" x14ac:dyDescent="0.3">
      <c r="S6576" s="6"/>
    </row>
    <row r="6577" spans="19:19" x14ac:dyDescent="0.3">
      <c r="S6577" s="6"/>
    </row>
    <row r="6578" spans="19:19" x14ac:dyDescent="0.3">
      <c r="S6578" s="6"/>
    </row>
    <row r="6579" spans="19:19" x14ac:dyDescent="0.3">
      <c r="S6579" s="6"/>
    </row>
    <row r="6580" spans="19:19" x14ac:dyDescent="0.3">
      <c r="S6580" s="6"/>
    </row>
    <row r="6581" spans="19:19" x14ac:dyDescent="0.3">
      <c r="S6581" s="6"/>
    </row>
    <row r="6582" spans="19:19" x14ac:dyDescent="0.3">
      <c r="S6582" s="6"/>
    </row>
    <row r="6583" spans="19:19" x14ac:dyDescent="0.3">
      <c r="S6583" s="6"/>
    </row>
    <row r="6584" spans="19:19" x14ac:dyDescent="0.3">
      <c r="S6584" s="6"/>
    </row>
    <row r="6585" spans="19:19" x14ac:dyDescent="0.3">
      <c r="S6585" s="6"/>
    </row>
    <row r="6586" spans="19:19" x14ac:dyDescent="0.3">
      <c r="S6586" s="6"/>
    </row>
    <row r="6587" spans="19:19" x14ac:dyDescent="0.3">
      <c r="S6587" s="6"/>
    </row>
    <row r="6588" spans="19:19" x14ac:dyDescent="0.3">
      <c r="S6588" s="6"/>
    </row>
    <row r="6589" spans="19:19" x14ac:dyDescent="0.3">
      <c r="S6589" s="6"/>
    </row>
    <row r="6590" spans="19:19" x14ac:dyDescent="0.3">
      <c r="S6590" s="6"/>
    </row>
    <row r="6591" spans="19:19" x14ac:dyDescent="0.3">
      <c r="S6591" s="6"/>
    </row>
    <row r="6592" spans="19:19" x14ac:dyDescent="0.3">
      <c r="S6592" s="6"/>
    </row>
    <row r="6593" spans="19:19" x14ac:dyDescent="0.3">
      <c r="S6593" s="6"/>
    </row>
    <row r="6594" spans="19:19" x14ac:dyDescent="0.3">
      <c r="S6594" s="6"/>
    </row>
    <row r="6595" spans="19:19" x14ac:dyDescent="0.3">
      <c r="S6595" s="6"/>
    </row>
    <row r="6596" spans="19:19" x14ac:dyDescent="0.3">
      <c r="S6596" s="6"/>
    </row>
    <row r="6597" spans="19:19" x14ac:dyDescent="0.3">
      <c r="S6597" s="6"/>
    </row>
    <row r="6598" spans="19:19" x14ac:dyDescent="0.3">
      <c r="S6598" s="6"/>
    </row>
    <row r="6599" spans="19:19" x14ac:dyDescent="0.3">
      <c r="S6599" s="6"/>
    </row>
    <row r="6600" spans="19:19" x14ac:dyDescent="0.3">
      <c r="S6600" s="6"/>
    </row>
    <row r="6601" spans="19:19" x14ac:dyDescent="0.3">
      <c r="S6601" s="6"/>
    </row>
    <row r="6602" spans="19:19" x14ac:dyDescent="0.3">
      <c r="S6602" s="6"/>
    </row>
    <row r="6603" spans="19:19" x14ac:dyDescent="0.3">
      <c r="S6603" s="6"/>
    </row>
    <row r="6604" spans="19:19" x14ac:dyDescent="0.3">
      <c r="S6604" s="6"/>
    </row>
    <row r="6605" spans="19:19" x14ac:dyDescent="0.3">
      <c r="S6605" s="6"/>
    </row>
    <row r="6606" spans="19:19" x14ac:dyDescent="0.3">
      <c r="S6606" s="6"/>
    </row>
    <row r="6607" spans="19:19" x14ac:dyDescent="0.3">
      <c r="S6607" s="6"/>
    </row>
    <row r="6608" spans="19:19" x14ac:dyDescent="0.3">
      <c r="S6608" s="6"/>
    </row>
    <row r="6609" spans="19:19" x14ac:dyDescent="0.3">
      <c r="S6609" s="6"/>
    </row>
    <row r="6610" spans="19:19" x14ac:dyDescent="0.3">
      <c r="S6610" s="6"/>
    </row>
    <row r="6611" spans="19:19" x14ac:dyDescent="0.3">
      <c r="S6611" s="6"/>
    </row>
    <row r="6612" spans="19:19" x14ac:dyDescent="0.3">
      <c r="S6612" s="6"/>
    </row>
    <row r="6613" spans="19:19" x14ac:dyDescent="0.3">
      <c r="S6613" s="6"/>
    </row>
    <row r="6614" spans="19:19" x14ac:dyDescent="0.3">
      <c r="S6614" s="6"/>
    </row>
    <row r="6615" spans="19:19" x14ac:dyDescent="0.3">
      <c r="S6615" s="6"/>
    </row>
    <row r="6616" spans="19:19" x14ac:dyDescent="0.3">
      <c r="S6616" s="6"/>
    </row>
    <row r="6617" spans="19:19" x14ac:dyDescent="0.3">
      <c r="S6617" s="6"/>
    </row>
    <row r="6618" spans="19:19" x14ac:dyDescent="0.3">
      <c r="S6618" s="6"/>
    </row>
    <row r="6619" spans="19:19" x14ac:dyDescent="0.3">
      <c r="S6619" s="6"/>
    </row>
    <row r="6620" spans="19:19" x14ac:dyDescent="0.3">
      <c r="S6620" s="6"/>
    </row>
    <row r="6621" spans="19:19" x14ac:dyDescent="0.3">
      <c r="S6621" s="6"/>
    </row>
    <row r="6622" spans="19:19" x14ac:dyDescent="0.3">
      <c r="S6622" s="6"/>
    </row>
    <row r="6623" spans="19:19" x14ac:dyDescent="0.3">
      <c r="S6623" s="6"/>
    </row>
    <row r="6624" spans="19:19" x14ac:dyDescent="0.3">
      <c r="S6624" s="6"/>
    </row>
    <row r="6625" spans="19:19" x14ac:dyDescent="0.3">
      <c r="S6625" s="6"/>
    </row>
    <row r="6626" spans="19:19" x14ac:dyDescent="0.3">
      <c r="S6626" s="6"/>
    </row>
    <row r="6627" spans="19:19" x14ac:dyDescent="0.3">
      <c r="S6627" s="6"/>
    </row>
    <row r="6628" spans="19:19" x14ac:dyDescent="0.3">
      <c r="S6628" s="6"/>
    </row>
    <row r="6629" spans="19:19" x14ac:dyDescent="0.3">
      <c r="S6629" s="6"/>
    </row>
    <row r="6630" spans="19:19" x14ac:dyDescent="0.3">
      <c r="S6630" s="6"/>
    </row>
    <row r="6631" spans="19:19" x14ac:dyDescent="0.3">
      <c r="S6631" s="6"/>
    </row>
    <row r="6632" spans="19:19" x14ac:dyDescent="0.3">
      <c r="S6632" s="6"/>
    </row>
    <row r="6633" spans="19:19" x14ac:dyDescent="0.3">
      <c r="S6633" s="6"/>
    </row>
    <row r="6634" spans="19:19" x14ac:dyDescent="0.3">
      <c r="S6634" s="6"/>
    </row>
    <row r="6635" spans="19:19" x14ac:dyDescent="0.3">
      <c r="S6635" s="6"/>
    </row>
    <row r="6636" spans="19:19" x14ac:dyDescent="0.3">
      <c r="S6636" s="6"/>
    </row>
    <row r="6637" spans="19:19" x14ac:dyDescent="0.3">
      <c r="S6637" s="6"/>
    </row>
    <row r="6638" spans="19:19" x14ac:dyDescent="0.3">
      <c r="S6638" s="6"/>
    </row>
    <row r="6639" spans="19:19" x14ac:dyDescent="0.3">
      <c r="S6639" s="6"/>
    </row>
    <row r="6640" spans="19:19" x14ac:dyDescent="0.3">
      <c r="S6640" s="6"/>
    </row>
    <row r="6641" spans="19:19" x14ac:dyDescent="0.3">
      <c r="S6641" s="6"/>
    </row>
    <row r="6642" spans="19:19" x14ac:dyDescent="0.3">
      <c r="S6642" s="6"/>
    </row>
    <row r="6643" spans="19:19" x14ac:dyDescent="0.3">
      <c r="S6643" s="6"/>
    </row>
    <row r="6644" spans="19:19" x14ac:dyDescent="0.3">
      <c r="S6644" s="6"/>
    </row>
    <row r="6645" spans="19:19" x14ac:dyDescent="0.3">
      <c r="S6645" s="6"/>
    </row>
    <row r="6646" spans="19:19" x14ac:dyDescent="0.3">
      <c r="S6646" s="6"/>
    </row>
    <row r="6647" spans="19:19" x14ac:dyDescent="0.3">
      <c r="S6647" s="6"/>
    </row>
    <row r="6648" spans="19:19" x14ac:dyDescent="0.3">
      <c r="S6648" s="6"/>
    </row>
    <row r="6649" spans="19:19" x14ac:dyDescent="0.3">
      <c r="S6649" s="6"/>
    </row>
    <row r="6650" spans="19:19" x14ac:dyDescent="0.3">
      <c r="S6650" s="6"/>
    </row>
    <row r="6651" spans="19:19" x14ac:dyDescent="0.3">
      <c r="S6651" s="6"/>
    </row>
    <row r="6652" spans="19:19" x14ac:dyDescent="0.3">
      <c r="S6652" s="6"/>
    </row>
    <row r="6653" spans="19:19" x14ac:dyDescent="0.3">
      <c r="S6653" s="6"/>
    </row>
    <row r="6654" spans="19:19" x14ac:dyDescent="0.3">
      <c r="S6654" s="6"/>
    </row>
    <row r="6655" spans="19:19" x14ac:dyDescent="0.3">
      <c r="S6655" s="6"/>
    </row>
    <row r="6656" spans="19:19" x14ac:dyDescent="0.3">
      <c r="S6656" s="6"/>
    </row>
    <row r="6657" spans="19:19" x14ac:dyDescent="0.3">
      <c r="S6657" s="6"/>
    </row>
    <row r="6658" spans="19:19" x14ac:dyDescent="0.3">
      <c r="S6658" s="6"/>
    </row>
    <row r="6659" spans="19:19" x14ac:dyDescent="0.3">
      <c r="S6659" s="6"/>
    </row>
    <row r="6660" spans="19:19" x14ac:dyDescent="0.3">
      <c r="S6660" s="6"/>
    </row>
    <row r="6661" spans="19:19" x14ac:dyDescent="0.3">
      <c r="S6661" s="6"/>
    </row>
    <row r="6662" spans="19:19" x14ac:dyDescent="0.3">
      <c r="S6662" s="6"/>
    </row>
    <row r="6663" spans="19:19" x14ac:dyDescent="0.3">
      <c r="S6663" s="6"/>
    </row>
    <row r="6664" spans="19:19" x14ac:dyDescent="0.3">
      <c r="S6664" s="6"/>
    </row>
    <row r="6665" spans="19:19" x14ac:dyDescent="0.3">
      <c r="S6665" s="6"/>
    </row>
    <row r="6666" spans="19:19" x14ac:dyDescent="0.3">
      <c r="S6666" s="6"/>
    </row>
    <row r="6667" spans="19:19" x14ac:dyDescent="0.3">
      <c r="S6667" s="6"/>
    </row>
    <row r="6668" spans="19:19" x14ac:dyDescent="0.3">
      <c r="S6668" s="6"/>
    </row>
    <row r="6669" spans="19:19" x14ac:dyDescent="0.3">
      <c r="S6669" s="6"/>
    </row>
    <row r="6670" spans="19:19" x14ac:dyDescent="0.3">
      <c r="S6670" s="6"/>
    </row>
    <row r="6671" spans="19:19" x14ac:dyDescent="0.3">
      <c r="S6671" s="6"/>
    </row>
    <row r="6672" spans="19:19" x14ac:dyDescent="0.3">
      <c r="S6672" s="6"/>
    </row>
    <row r="6673" spans="19:19" x14ac:dyDescent="0.3">
      <c r="S6673" s="6"/>
    </row>
    <row r="6674" spans="19:19" x14ac:dyDescent="0.3">
      <c r="S6674" s="6"/>
    </row>
    <row r="6675" spans="19:19" x14ac:dyDescent="0.3">
      <c r="S6675" s="6"/>
    </row>
    <row r="6676" spans="19:19" x14ac:dyDescent="0.3">
      <c r="S6676" s="6"/>
    </row>
    <row r="6677" spans="19:19" x14ac:dyDescent="0.3">
      <c r="S6677" s="6"/>
    </row>
    <row r="6678" spans="19:19" x14ac:dyDescent="0.3">
      <c r="S6678" s="6"/>
    </row>
    <row r="6679" spans="19:19" x14ac:dyDescent="0.3">
      <c r="S6679" s="6"/>
    </row>
    <row r="6680" spans="19:19" x14ac:dyDescent="0.3">
      <c r="S6680" s="6"/>
    </row>
    <row r="6681" spans="19:19" x14ac:dyDescent="0.3">
      <c r="S6681" s="6"/>
    </row>
    <row r="6682" spans="19:19" x14ac:dyDescent="0.3">
      <c r="S6682" s="6"/>
    </row>
    <row r="6683" spans="19:19" x14ac:dyDescent="0.3">
      <c r="S6683" s="6"/>
    </row>
    <row r="6684" spans="19:19" x14ac:dyDescent="0.3">
      <c r="S6684" s="6"/>
    </row>
    <row r="6685" spans="19:19" x14ac:dyDescent="0.3">
      <c r="S6685" s="6"/>
    </row>
    <row r="6686" spans="19:19" x14ac:dyDescent="0.3">
      <c r="S6686" s="6"/>
    </row>
    <row r="6687" spans="19:19" x14ac:dyDescent="0.3">
      <c r="S6687" s="6"/>
    </row>
    <row r="6688" spans="19:19" x14ac:dyDescent="0.3">
      <c r="S6688" s="6"/>
    </row>
    <row r="6689" spans="19:19" x14ac:dyDescent="0.3">
      <c r="S6689" s="6"/>
    </row>
    <row r="6690" spans="19:19" x14ac:dyDescent="0.3">
      <c r="S6690" s="6"/>
    </row>
    <row r="6691" spans="19:19" x14ac:dyDescent="0.3">
      <c r="S6691" s="6"/>
    </row>
    <row r="6692" spans="19:19" x14ac:dyDescent="0.3">
      <c r="S6692" s="6"/>
    </row>
    <row r="6693" spans="19:19" x14ac:dyDescent="0.3">
      <c r="S6693" s="6"/>
    </row>
    <row r="6694" spans="19:19" x14ac:dyDescent="0.3">
      <c r="S6694" s="6"/>
    </row>
    <row r="6695" spans="19:19" x14ac:dyDescent="0.3">
      <c r="S6695" s="6"/>
    </row>
    <row r="6696" spans="19:19" x14ac:dyDescent="0.3">
      <c r="S6696" s="6"/>
    </row>
    <row r="6697" spans="19:19" x14ac:dyDescent="0.3">
      <c r="S6697" s="6"/>
    </row>
    <row r="6698" spans="19:19" x14ac:dyDescent="0.3">
      <c r="S6698" s="6"/>
    </row>
    <row r="6699" spans="19:19" x14ac:dyDescent="0.3">
      <c r="S6699" s="6"/>
    </row>
    <row r="6700" spans="19:19" x14ac:dyDescent="0.3">
      <c r="S6700" s="6"/>
    </row>
    <row r="6701" spans="19:19" x14ac:dyDescent="0.3">
      <c r="S6701" s="6"/>
    </row>
    <row r="6702" spans="19:19" x14ac:dyDescent="0.3">
      <c r="S6702" s="6"/>
    </row>
    <row r="6703" spans="19:19" x14ac:dyDescent="0.3">
      <c r="S6703" s="6"/>
    </row>
    <row r="6704" spans="19:19" x14ac:dyDescent="0.3">
      <c r="S6704" s="6"/>
    </row>
    <row r="6705" spans="19:19" x14ac:dyDescent="0.3">
      <c r="S6705" s="6"/>
    </row>
    <row r="6706" spans="19:19" x14ac:dyDescent="0.3">
      <c r="S6706" s="6"/>
    </row>
    <row r="6707" spans="19:19" x14ac:dyDescent="0.3">
      <c r="S6707" s="6"/>
    </row>
    <row r="6708" spans="19:19" x14ac:dyDescent="0.3">
      <c r="S6708" s="6"/>
    </row>
    <row r="6709" spans="19:19" x14ac:dyDescent="0.3">
      <c r="S6709" s="6"/>
    </row>
    <row r="6710" spans="19:19" x14ac:dyDescent="0.3">
      <c r="S6710" s="6"/>
    </row>
    <row r="6711" spans="19:19" x14ac:dyDescent="0.3">
      <c r="S6711" s="6"/>
    </row>
    <row r="6712" spans="19:19" x14ac:dyDescent="0.3">
      <c r="S6712" s="6"/>
    </row>
    <row r="6713" spans="19:19" x14ac:dyDescent="0.3">
      <c r="S6713" s="6"/>
    </row>
    <row r="6714" spans="19:19" x14ac:dyDescent="0.3">
      <c r="S6714" s="6"/>
    </row>
    <row r="6715" spans="19:19" x14ac:dyDescent="0.3">
      <c r="S6715" s="6"/>
    </row>
    <row r="6716" spans="19:19" x14ac:dyDescent="0.3">
      <c r="S6716" s="6"/>
    </row>
    <row r="6717" spans="19:19" x14ac:dyDescent="0.3">
      <c r="S6717" s="6"/>
    </row>
    <row r="6718" spans="19:19" x14ac:dyDescent="0.3">
      <c r="S6718" s="6"/>
    </row>
    <row r="6719" spans="19:19" x14ac:dyDescent="0.3">
      <c r="S6719" s="6"/>
    </row>
    <row r="6720" spans="19:19" x14ac:dyDescent="0.3">
      <c r="S6720" s="6"/>
    </row>
    <row r="6721" spans="19:19" x14ac:dyDescent="0.3">
      <c r="S6721" s="6"/>
    </row>
    <row r="6722" spans="19:19" x14ac:dyDescent="0.3">
      <c r="S6722" s="6"/>
    </row>
    <row r="6723" spans="19:19" x14ac:dyDescent="0.3">
      <c r="S6723" s="6"/>
    </row>
    <row r="6724" spans="19:19" x14ac:dyDescent="0.3">
      <c r="S6724" s="6"/>
    </row>
    <row r="6725" spans="19:19" x14ac:dyDescent="0.3">
      <c r="S6725" s="6"/>
    </row>
    <row r="6726" spans="19:19" x14ac:dyDescent="0.3">
      <c r="S6726" s="6"/>
    </row>
    <row r="6727" spans="19:19" x14ac:dyDescent="0.3">
      <c r="S6727" s="6"/>
    </row>
    <row r="6728" spans="19:19" x14ac:dyDescent="0.3">
      <c r="S6728" s="6"/>
    </row>
    <row r="6729" spans="19:19" x14ac:dyDescent="0.3">
      <c r="S6729" s="6"/>
    </row>
    <row r="6730" spans="19:19" x14ac:dyDescent="0.3">
      <c r="S6730" s="6"/>
    </row>
    <row r="6731" spans="19:19" x14ac:dyDescent="0.3">
      <c r="S6731" s="6"/>
    </row>
    <row r="6732" spans="19:19" x14ac:dyDescent="0.3">
      <c r="S6732" s="6"/>
    </row>
    <row r="6733" spans="19:19" x14ac:dyDescent="0.3">
      <c r="S6733" s="6"/>
    </row>
    <row r="6734" spans="19:19" x14ac:dyDescent="0.3">
      <c r="S6734" s="6"/>
    </row>
    <row r="6735" spans="19:19" x14ac:dyDescent="0.3">
      <c r="S6735" s="6"/>
    </row>
    <row r="6736" spans="19:19" x14ac:dyDescent="0.3">
      <c r="S6736" s="6"/>
    </row>
    <row r="6737" spans="19:19" x14ac:dyDescent="0.3">
      <c r="S6737" s="6"/>
    </row>
    <row r="6738" spans="19:19" x14ac:dyDescent="0.3">
      <c r="S6738" s="6"/>
    </row>
    <row r="6739" spans="19:19" x14ac:dyDescent="0.3">
      <c r="S6739" s="6"/>
    </row>
    <row r="6740" spans="19:19" x14ac:dyDescent="0.3">
      <c r="S6740" s="6"/>
    </row>
    <row r="6741" spans="19:19" x14ac:dyDescent="0.3">
      <c r="S6741" s="6"/>
    </row>
    <row r="6742" spans="19:19" x14ac:dyDescent="0.3">
      <c r="S6742" s="6"/>
    </row>
    <row r="6743" spans="19:19" x14ac:dyDescent="0.3">
      <c r="S6743" s="6"/>
    </row>
    <row r="6744" spans="19:19" x14ac:dyDescent="0.3">
      <c r="S6744" s="6"/>
    </row>
    <row r="6745" spans="19:19" x14ac:dyDescent="0.3">
      <c r="S6745" s="6"/>
    </row>
    <row r="6746" spans="19:19" x14ac:dyDescent="0.3">
      <c r="S6746" s="6"/>
    </row>
    <row r="6747" spans="19:19" x14ac:dyDescent="0.3">
      <c r="S6747" s="6"/>
    </row>
    <row r="6748" spans="19:19" x14ac:dyDescent="0.3">
      <c r="S6748" s="6"/>
    </row>
    <row r="6749" spans="19:19" x14ac:dyDescent="0.3">
      <c r="S6749" s="6"/>
    </row>
    <row r="6750" spans="19:19" x14ac:dyDescent="0.3">
      <c r="S6750" s="6"/>
    </row>
    <row r="6751" spans="19:19" x14ac:dyDescent="0.3">
      <c r="S6751" s="6"/>
    </row>
    <row r="6752" spans="19:19" x14ac:dyDescent="0.3">
      <c r="S6752" s="6"/>
    </row>
    <row r="6753" spans="19:19" x14ac:dyDescent="0.3">
      <c r="S6753" s="6"/>
    </row>
    <row r="6754" spans="19:19" x14ac:dyDescent="0.3">
      <c r="S6754" s="6"/>
    </row>
    <row r="6755" spans="19:19" x14ac:dyDescent="0.3">
      <c r="S6755" s="6"/>
    </row>
    <row r="6756" spans="19:19" x14ac:dyDescent="0.3">
      <c r="S6756" s="6"/>
    </row>
    <row r="6757" spans="19:19" x14ac:dyDescent="0.3">
      <c r="S6757" s="6"/>
    </row>
    <row r="6758" spans="19:19" x14ac:dyDescent="0.3">
      <c r="S6758" s="6"/>
    </row>
    <row r="6759" spans="19:19" x14ac:dyDescent="0.3">
      <c r="S6759" s="6"/>
    </row>
    <row r="6760" spans="19:19" x14ac:dyDescent="0.3">
      <c r="S6760" s="6"/>
    </row>
    <row r="6761" spans="19:19" x14ac:dyDescent="0.3">
      <c r="S6761" s="6"/>
    </row>
    <row r="6762" spans="19:19" x14ac:dyDescent="0.3">
      <c r="S6762" s="6"/>
    </row>
    <row r="6763" spans="19:19" x14ac:dyDescent="0.3">
      <c r="S6763" s="6"/>
    </row>
    <row r="6764" spans="19:19" x14ac:dyDescent="0.3">
      <c r="S6764" s="6"/>
    </row>
    <row r="6765" spans="19:19" x14ac:dyDescent="0.3">
      <c r="S6765" s="6"/>
    </row>
    <row r="6766" spans="19:19" x14ac:dyDescent="0.3">
      <c r="S6766" s="6"/>
    </row>
    <row r="6767" spans="19:19" x14ac:dyDescent="0.3">
      <c r="S6767" s="6"/>
    </row>
    <row r="6768" spans="19:19" x14ac:dyDescent="0.3">
      <c r="S6768" s="6"/>
    </row>
    <row r="6769" spans="19:19" x14ac:dyDescent="0.3">
      <c r="S6769" s="6"/>
    </row>
    <row r="6770" spans="19:19" x14ac:dyDescent="0.3">
      <c r="S6770" s="6"/>
    </row>
    <row r="6771" spans="19:19" x14ac:dyDescent="0.3">
      <c r="S6771" s="6"/>
    </row>
    <row r="6772" spans="19:19" x14ac:dyDescent="0.3">
      <c r="S6772" s="6"/>
    </row>
    <row r="6773" spans="19:19" x14ac:dyDescent="0.3">
      <c r="S6773" s="6"/>
    </row>
    <row r="6774" spans="19:19" x14ac:dyDescent="0.3">
      <c r="S6774" s="6"/>
    </row>
    <row r="6775" spans="19:19" x14ac:dyDescent="0.3">
      <c r="S6775" s="6"/>
    </row>
    <row r="6776" spans="19:19" x14ac:dyDescent="0.3">
      <c r="S6776" s="6"/>
    </row>
    <row r="6777" spans="19:19" x14ac:dyDescent="0.3">
      <c r="S6777" s="6"/>
    </row>
    <row r="6778" spans="19:19" x14ac:dyDescent="0.3">
      <c r="S6778" s="6"/>
    </row>
    <row r="6779" spans="19:19" x14ac:dyDescent="0.3">
      <c r="S6779" s="6"/>
    </row>
    <row r="6780" spans="19:19" x14ac:dyDescent="0.3">
      <c r="S6780" s="6"/>
    </row>
    <row r="6781" spans="19:19" x14ac:dyDescent="0.3">
      <c r="S6781" s="6"/>
    </row>
    <row r="6782" spans="19:19" x14ac:dyDescent="0.3">
      <c r="S6782" s="6"/>
    </row>
    <row r="6783" spans="19:19" x14ac:dyDescent="0.3">
      <c r="S6783" s="6"/>
    </row>
    <row r="6784" spans="19:19" x14ac:dyDescent="0.3">
      <c r="S6784" s="6"/>
    </row>
    <row r="6785" spans="19:19" x14ac:dyDescent="0.3">
      <c r="S6785" s="6"/>
    </row>
    <row r="6786" spans="19:19" x14ac:dyDescent="0.3">
      <c r="S6786" s="6"/>
    </row>
    <row r="6787" spans="19:19" x14ac:dyDescent="0.3">
      <c r="S6787" s="6"/>
    </row>
    <row r="6788" spans="19:19" x14ac:dyDescent="0.3">
      <c r="S6788" s="6"/>
    </row>
    <row r="6789" spans="19:19" x14ac:dyDescent="0.3">
      <c r="S6789" s="6"/>
    </row>
    <row r="6790" spans="19:19" x14ac:dyDescent="0.3">
      <c r="S6790" s="6"/>
    </row>
    <row r="6791" spans="19:19" x14ac:dyDescent="0.3">
      <c r="S6791" s="6"/>
    </row>
    <row r="6792" spans="19:19" x14ac:dyDescent="0.3">
      <c r="S6792" s="6"/>
    </row>
    <row r="6793" spans="19:19" x14ac:dyDescent="0.3">
      <c r="S6793" s="6"/>
    </row>
    <row r="6794" spans="19:19" x14ac:dyDescent="0.3">
      <c r="S6794" s="6"/>
    </row>
    <row r="6795" spans="19:19" x14ac:dyDescent="0.3">
      <c r="S6795" s="6"/>
    </row>
    <row r="6796" spans="19:19" x14ac:dyDescent="0.3">
      <c r="S6796" s="6"/>
    </row>
    <row r="6797" spans="19:19" x14ac:dyDescent="0.3">
      <c r="S6797" s="6"/>
    </row>
    <row r="6798" spans="19:19" x14ac:dyDescent="0.3">
      <c r="S6798" s="6"/>
    </row>
    <row r="6799" spans="19:19" x14ac:dyDescent="0.3">
      <c r="S6799" s="6"/>
    </row>
    <row r="6800" spans="19:19" x14ac:dyDescent="0.3">
      <c r="S6800" s="6"/>
    </row>
    <row r="6801" spans="19:19" x14ac:dyDescent="0.3">
      <c r="S6801" s="6"/>
    </row>
    <row r="6802" spans="19:19" x14ac:dyDescent="0.3">
      <c r="S6802" s="6"/>
    </row>
    <row r="6803" spans="19:19" x14ac:dyDescent="0.3">
      <c r="S6803" s="6"/>
    </row>
    <row r="6804" spans="19:19" x14ac:dyDescent="0.3">
      <c r="S6804" s="6"/>
    </row>
    <row r="6805" spans="19:19" x14ac:dyDescent="0.3">
      <c r="S6805" s="6"/>
    </row>
    <row r="6806" spans="19:19" x14ac:dyDescent="0.3">
      <c r="S6806" s="6"/>
    </row>
    <row r="6807" spans="19:19" x14ac:dyDescent="0.3">
      <c r="S6807" s="6"/>
    </row>
    <row r="6808" spans="19:19" x14ac:dyDescent="0.3">
      <c r="S6808" s="6"/>
    </row>
    <row r="6809" spans="19:19" x14ac:dyDescent="0.3">
      <c r="S6809" s="6"/>
    </row>
    <row r="6810" spans="19:19" x14ac:dyDescent="0.3">
      <c r="S6810" s="6"/>
    </row>
    <row r="6811" spans="19:19" x14ac:dyDescent="0.3">
      <c r="S6811" s="6"/>
    </row>
    <row r="6812" spans="19:19" x14ac:dyDescent="0.3">
      <c r="S6812" s="6"/>
    </row>
    <row r="6813" spans="19:19" x14ac:dyDescent="0.3">
      <c r="S6813" s="6"/>
    </row>
    <row r="6814" spans="19:19" x14ac:dyDescent="0.3">
      <c r="S6814" s="6"/>
    </row>
    <row r="6815" spans="19:19" x14ac:dyDescent="0.3">
      <c r="S6815" s="6"/>
    </row>
    <row r="6816" spans="19:19" x14ac:dyDescent="0.3">
      <c r="S6816" s="6"/>
    </row>
    <row r="6817" spans="19:19" x14ac:dyDescent="0.3">
      <c r="S6817" s="6"/>
    </row>
    <row r="6818" spans="19:19" x14ac:dyDescent="0.3">
      <c r="S6818" s="6"/>
    </row>
    <row r="6819" spans="19:19" x14ac:dyDescent="0.3">
      <c r="S6819" s="6"/>
    </row>
    <row r="6820" spans="19:19" x14ac:dyDescent="0.3">
      <c r="S6820" s="6"/>
    </row>
    <row r="6821" spans="19:19" x14ac:dyDescent="0.3">
      <c r="S6821" s="6"/>
    </row>
    <row r="6822" spans="19:19" x14ac:dyDescent="0.3">
      <c r="S6822" s="6"/>
    </row>
    <row r="6823" spans="19:19" x14ac:dyDescent="0.3">
      <c r="S6823" s="6"/>
    </row>
    <row r="6824" spans="19:19" x14ac:dyDescent="0.3">
      <c r="S6824" s="6"/>
    </row>
    <row r="6825" spans="19:19" x14ac:dyDescent="0.3">
      <c r="S6825" s="6"/>
    </row>
    <row r="6826" spans="19:19" x14ac:dyDescent="0.3">
      <c r="S6826" s="6"/>
    </row>
    <row r="6827" spans="19:19" x14ac:dyDescent="0.3">
      <c r="S6827" s="6"/>
    </row>
    <row r="6828" spans="19:19" x14ac:dyDescent="0.3">
      <c r="S6828" s="6"/>
    </row>
    <row r="6829" spans="19:19" x14ac:dyDescent="0.3">
      <c r="S6829" s="6"/>
    </row>
    <row r="6830" spans="19:19" x14ac:dyDescent="0.3">
      <c r="S6830" s="6"/>
    </row>
    <row r="6831" spans="19:19" x14ac:dyDescent="0.3">
      <c r="S6831" s="6"/>
    </row>
    <row r="6832" spans="19:19" x14ac:dyDescent="0.3">
      <c r="S6832" s="6"/>
    </row>
    <row r="6833" spans="19:19" x14ac:dyDescent="0.3">
      <c r="S6833" s="6"/>
    </row>
    <row r="6834" spans="19:19" x14ac:dyDescent="0.3">
      <c r="S6834" s="6"/>
    </row>
    <row r="6835" spans="19:19" x14ac:dyDescent="0.3">
      <c r="S6835" s="6"/>
    </row>
    <row r="6836" spans="19:19" x14ac:dyDescent="0.3">
      <c r="S6836" s="6"/>
    </row>
    <row r="6837" spans="19:19" x14ac:dyDescent="0.3">
      <c r="S6837" s="6"/>
    </row>
    <row r="6838" spans="19:19" x14ac:dyDescent="0.3">
      <c r="S6838" s="6"/>
    </row>
    <row r="6839" spans="19:19" x14ac:dyDescent="0.3">
      <c r="S6839" s="6"/>
    </row>
    <row r="6840" spans="19:19" x14ac:dyDescent="0.3">
      <c r="S6840" s="6"/>
    </row>
    <row r="6841" spans="19:19" x14ac:dyDescent="0.3">
      <c r="S6841" s="6"/>
    </row>
    <row r="6842" spans="19:19" x14ac:dyDescent="0.3">
      <c r="S6842" s="6"/>
    </row>
    <row r="6843" spans="19:19" x14ac:dyDescent="0.3">
      <c r="S6843" s="6"/>
    </row>
    <row r="6844" spans="19:19" x14ac:dyDescent="0.3">
      <c r="S6844" s="6"/>
    </row>
    <row r="6845" spans="19:19" x14ac:dyDescent="0.3">
      <c r="S6845" s="6"/>
    </row>
    <row r="6846" spans="19:19" x14ac:dyDescent="0.3">
      <c r="S6846" s="6"/>
    </row>
    <row r="6847" spans="19:19" x14ac:dyDescent="0.3">
      <c r="S6847" s="6"/>
    </row>
    <row r="6848" spans="19:19" x14ac:dyDescent="0.3">
      <c r="S6848" s="6"/>
    </row>
    <row r="6849" spans="19:19" x14ac:dyDescent="0.3">
      <c r="S6849" s="6"/>
    </row>
    <row r="6850" spans="19:19" x14ac:dyDescent="0.3">
      <c r="S6850" s="6"/>
    </row>
    <row r="6851" spans="19:19" x14ac:dyDescent="0.3">
      <c r="S6851" s="6"/>
    </row>
    <row r="6852" spans="19:19" x14ac:dyDescent="0.3">
      <c r="S6852" s="6"/>
    </row>
    <row r="6853" spans="19:19" x14ac:dyDescent="0.3">
      <c r="S6853" s="6"/>
    </row>
    <row r="6854" spans="19:19" x14ac:dyDescent="0.3">
      <c r="S6854" s="6"/>
    </row>
    <row r="6855" spans="19:19" x14ac:dyDescent="0.3">
      <c r="S6855" s="6"/>
    </row>
    <row r="6856" spans="19:19" x14ac:dyDescent="0.3">
      <c r="S6856" s="6"/>
    </row>
    <row r="6857" spans="19:19" x14ac:dyDescent="0.3">
      <c r="S6857" s="6"/>
    </row>
    <row r="6858" spans="19:19" x14ac:dyDescent="0.3">
      <c r="S6858" s="6"/>
    </row>
    <row r="6859" spans="19:19" x14ac:dyDescent="0.3">
      <c r="S6859" s="6"/>
    </row>
    <row r="6860" spans="19:19" x14ac:dyDescent="0.3">
      <c r="S6860" s="6"/>
    </row>
    <row r="6861" spans="19:19" x14ac:dyDescent="0.3">
      <c r="S6861" s="6"/>
    </row>
    <row r="6862" spans="19:19" x14ac:dyDescent="0.3">
      <c r="S6862" s="6"/>
    </row>
    <row r="6863" spans="19:19" x14ac:dyDescent="0.3">
      <c r="S6863" s="6"/>
    </row>
    <row r="6864" spans="19:19" x14ac:dyDescent="0.3">
      <c r="S6864" s="6"/>
    </row>
    <row r="6865" spans="19:19" x14ac:dyDescent="0.3">
      <c r="S6865" s="6"/>
    </row>
    <row r="6866" spans="19:19" x14ac:dyDescent="0.3">
      <c r="S6866" s="6"/>
    </row>
    <row r="6867" spans="19:19" x14ac:dyDescent="0.3">
      <c r="S6867" s="6"/>
    </row>
    <row r="6868" spans="19:19" x14ac:dyDescent="0.3">
      <c r="S6868" s="6"/>
    </row>
    <row r="6869" spans="19:19" x14ac:dyDescent="0.3">
      <c r="S6869" s="6"/>
    </row>
    <row r="6870" spans="19:19" x14ac:dyDescent="0.3">
      <c r="S6870" s="6"/>
    </row>
    <row r="6871" spans="19:19" x14ac:dyDescent="0.3">
      <c r="S6871" s="6"/>
    </row>
    <row r="6872" spans="19:19" x14ac:dyDescent="0.3">
      <c r="S6872" s="6"/>
    </row>
    <row r="6873" spans="19:19" x14ac:dyDescent="0.3">
      <c r="S6873" s="6"/>
    </row>
    <row r="6874" spans="19:19" x14ac:dyDescent="0.3">
      <c r="S6874" s="6"/>
    </row>
    <row r="6875" spans="19:19" x14ac:dyDescent="0.3">
      <c r="S6875" s="6"/>
    </row>
    <row r="6876" spans="19:19" x14ac:dyDescent="0.3">
      <c r="S6876" s="6"/>
    </row>
    <row r="6877" spans="19:19" x14ac:dyDescent="0.3">
      <c r="S6877" s="6"/>
    </row>
    <row r="6878" spans="19:19" x14ac:dyDescent="0.3">
      <c r="S6878" s="6"/>
    </row>
    <row r="6879" spans="19:19" x14ac:dyDescent="0.3">
      <c r="S6879" s="6"/>
    </row>
    <row r="6880" spans="19:19" x14ac:dyDescent="0.3">
      <c r="S6880" s="6"/>
    </row>
    <row r="6881" spans="19:19" x14ac:dyDescent="0.3">
      <c r="S6881" s="6"/>
    </row>
    <row r="6882" spans="19:19" x14ac:dyDescent="0.3">
      <c r="S6882" s="6"/>
    </row>
    <row r="6883" spans="19:19" x14ac:dyDescent="0.3">
      <c r="S6883" s="6"/>
    </row>
    <row r="6884" spans="19:19" x14ac:dyDescent="0.3">
      <c r="S6884" s="6"/>
    </row>
    <row r="6885" spans="19:19" x14ac:dyDescent="0.3">
      <c r="S6885" s="6"/>
    </row>
    <row r="6886" spans="19:19" x14ac:dyDescent="0.3">
      <c r="S6886" s="6"/>
    </row>
    <row r="6887" spans="19:19" x14ac:dyDescent="0.3">
      <c r="S6887" s="6"/>
    </row>
    <row r="6888" spans="19:19" x14ac:dyDescent="0.3">
      <c r="S6888" s="6"/>
    </row>
    <row r="6889" spans="19:19" x14ac:dyDescent="0.3">
      <c r="S6889" s="6"/>
    </row>
    <row r="6890" spans="19:19" x14ac:dyDescent="0.3">
      <c r="S6890" s="6"/>
    </row>
    <row r="6891" spans="19:19" x14ac:dyDescent="0.3">
      <c r="S6891" s="6"/>
    </row>
    <row r="6892" spans="19:19" x14ac:dyDescent="0.3">
      <c r="S6892" s="6"/>
    </row>
    <row r="6893" spans="19:19" x14ac:dyDescent="0.3">
      <c r="S6893" s="6"/>
    </row>
    <row r="6894" spans="19:19" x14ac:dyDescent="0.3">
      <c r="S6894" s="6"/>
    </row>
    <row r="6895" spans="19:19" x14ac:dyDescent="0.3">
      <c r="S6895" s="6"/>
    </row>
    <row r="6896" spans="19:19" x14ac:dyDescent="0.3">
      <c r="S6896" s="6"/>
    </row>
    <row r="6897" spans="19:19" x14ac:dyDescent="0.3">
      <c r="S6897" s="6"/>
    </row>
    <row r="6898" spans="19:19" x14ac:dyDescent="0.3">
      <c r="S6898" s="6"/>
    </row>
    <row r="6899" spans="19:19" x14ac:dyDescent="0.3">
      <c r="S6899" s="6"/>
    </row>
    <row r="6900" spans="19:19" x14ac:dyDescent="0.3">
      <c r="S6900" s="6"/>
    </row>
    <row r="6901" spans="19:19" x14ac:dyDescent="0.3">
      <c r="S6901" s="6"/>
    </row>
    <row r="6902" spans="19:19" x14ac:dyDescent="0.3">
      <c r="S6902" s="6"/>
    </row>
    <row r="6903" spans="19:19" x14ac:dyDescent="0.3">
      <c r="S6903" s="6"/>
    </row>
    <row r="6904" spans="19:19" x14ac:dyDescent="0.3">
      <c r="S6904" s="6"/>
    </row>
    <row r="6905" spans="19:19" x14ac:dyDescent="0.3">
      <c r="S6905" s="6"/>
    </row>
    <row r="6906" spans="19:19" x14ac:dyDescent="0.3">
      <c r="S6906" s="6"/>
    </row>
    <row r="6907" spans="19:19" x14ac:dyDescent="0.3">
      <c r="S6907" s="6"/>
    </row>
    <row r="6908" spans="19:19" x14ac:dyDescent="0.3">
      <c r="S6908" s="6"/>
    </row>
    <row r="6909" spans="19:19" x14ac:dyDescent="0.3">
      <c r="S6909" s="6"/>
    </row>
    <row r="6910" spans="19:19" x14ac:dyDescent="0.3">
      <c r="S6910" s="6"/>
    </row>
    <row r="6911" spans="19:19" x14ac:dyDescent="0.3">
      <c r="S6911" s="6"/>
    </row>
    <row r="6912" spans="19:19" x14ac:dyDescent="0.3">
      <c r="S6912" s="6"/>
    </row>
    <row r="6913" spans="19:19" x14ac:dyDescent="0.3">
      <c r="S6913" s="6"/>
    </row>
    <row r="6914" spans="19:19" x14ac:dyDescent="0.3">
      <c r="S6914" s="6"/>
    </row>
    <row r="6915" spans="19:19" x14ac:dyDescent="0.3">
      <c r="S6915" s="6"/>
    </row>
    <row r="6916" spans="19:19" x14ac:dyDescent="0.3">
      <c r="S6916" s="6"/>
    </row>
    <row r="6917" spans="19:19" x14ac:dyDescent="0.3">
      <c r="S6917" s="6"/>
    </row>
    <row r="6918" spans="19:19" x14ac:dyDescent="0.3">
      <c r="S6918" s="6"/>
    </row>
    <row r="6919" spans="19:19" x14ac:dyDescent="0.3">
      <c r="S6919" s="6"/>
    </row>
    <row r="6920" spans="19:19" x14ac:dyDescent="0.3">
      <c r="S6920" s="6"/>
    </row>
    <row r="6921" spans="19:19" x14ac:dyDescent="0.3">
      <c r="S6921" s="6"/>
    </row>
    <row r="6922" spans="19:19" x14ac:dyDescent="0.3">
      <c r="S6922" s="6"/>
    </row>
    <row r="6923" spans="19:19" x14ac:dyDescent="0.3">
      <c r="S6923" s="6"/>
    </row>
    <row r="6924" spans="19:19" x14ac:dyDescent="0.3">
      <c r="S6924" s="6"/>
    </row>
    <row r="6925" spans="19:19" x14ac:dyDescent="0.3">
      <c r="S6925" s="6"/>
    </row>
    <row r="6926" spans="19:19" x14ac:dyDescent="0.3">
      <c r="S6926" s="6"/>
    </row>
    <row r="6927" spans="19:19" x14ac:dyDescent="0.3">
      <c r="S6927" s="6"/>
    </row>
    <row r="6928" spans="19:19" x14ac:dyDescent="0.3">
      <c r="S6928" s="6"/>
    </row>
    <row r="6929" spans="19:19" x14ac:dyDescent="0.3">
      <c r="S6929" s="6"/>
    </row>
    <row r="6930" spans="19:19" x14ac:dyDescent="0.3">
      <c r="S6930" s="6"/>
    </row>
    <row r="6931" spans="19:19" x14ac:dyDescent="0.3">
      <c r="S6931" s="6"/>
    </row>
    <row r="6932" spans="19:19" x14ac:dyDescent="0.3">
      <c r="S6932" s="6"/>
    </row>
    <row r="6933" spans="19:19" x14ac:dyDescent="0.3">
      <c r="S6933" s="6"/>
    </row>
    <row r="6934" spans="19:19" x14ac:dyDescent="0.3">
      <c r="S6934" s="6"/>
    </row>
    <row r="6935" spans="19:19" x14ac:dyDescent="0.3">
      <c r="S6935" s="6"/>
    </row>
    <row r="6936" spans="19:19" x14ac:dyDescent="0.3">
      <c r="S6936" s="6"/>
    </row>
    <row r="6937" spans="19:19" x14ac:dyDescent="0.3">
      <c r="S6937" s="6"/>
    </row>
    <row r="6938" spans="19:19" x14ac:dyDescent="0.3">
      <c r="S6938" s="6"/>
    </row>
    <row r="6939" spans="19:19" x14ac:dyDescent="0.3">
      <c r="S6939" s="6"/>
    </row>
    <row r="6940" spans="19:19" x14ac:dyDescent="0.3">
      <c r="S6940" s="6"/>
    </row>
    <row r="6941" spans="19:19" x14ac:dyDescent="0.3">
      <c r="S6941" s="6"/>
    </row>
    <row r="6942" spans="19:19" x14ac:dyDescent="0.3">
      <c r="S6942" s="6"/>
    </row>
    <row r="6943" spans="19:19" x14ac:dyDescent="0.3">
      <c r="S6943" s="6"/>
    </row>
    <row r="6944" spans="19:19" x14ac:dyDescent="0.3">
      <c r="S6944" s="6"/>
    </row>
    <row r="6945" spans="19:19" x14ac:dyDescent="0.3">
      <c r="S6945" s="6"/>
    </row>
    <row r="6946" spans="19:19" x14ac:dyDescent="0.3">
      <c r="S6946" s="6"/>
    </row>
    <row r="6947" spans="19:19" x14ac:dyDescent="0.3">
      <c r="S6947" s="6"/>
    </row>
    <row r="6948" spans="19:19" x14ac:dyDescent="0.3">
      <c r="S6948" s="6"/>
    </row>
    <row r="6949" spans="19:19" x14ac:dyDescent="0.3">
      <c r="S6949" s="6"/>
    </row>
    <row r="6950" spans="19:19" x14ac:dyDescent="0.3">
      <c r="S6950" s="6"/>
    </row>
    <row r="6951" spans="19:19" x14ac:dyDescent="0.3">
      <c r="S6951" s="6"/>
    </row>
    <row r="6952" spans="19:19" x14ac:dyDescent="0.3">
      <c r="S6952" s="6"/>
    </row>
    <row r="6953" spans="19:19" x14ac:dyDescent="0.3">
      <c r="S6953" s="6"/>
    </row>
    <row r="6954" spans="19:19" x14ac:dyDescent="0.3">
      <c r="S6954" s="6"/>
    </row>
    <row r="6955" spans="19:19" x14ac:dyDescent="0.3">
      <c r="S6955" s="6"/>
    </row>
    <row r="6956" spans="19:19" x14ac:dyDescent="0.3">
      <c r="S6956" s="6"/>
    </row>
    <row r="6957" spans="19:19" x14ac:dyDescent="0.3">
      <c r="S6957" s="6"/>
    </row>
    <row r="6958" spans="19:19" x14ac:dyDescent="0.3">
      <c r="S6958" s="6"/>
    </row>
    <row r="6959" spans="19:19" x14ac:dyDescent="0.3">
      <c r="S6959" s="6"/>
    </row>
    <row r="6960" spans="19:19" x14ac:dyDescent="0.3">
      <c r="S6960" s="6"/>
    </row>
    <row r="6961" spans="19:19" x14ac:dyDescent="0.3">
      <c r="S6961" s="6"/>
    </row>
    <row r="6962" spans="19:19" x14ac:dyDescent="0.3">
      <c r="S6962" s="6"/>
    </row>
    <row r="6963" spans="19:19" x14ac:dyDescent="0.3">
      <c r="S6963" s="6"/>
    </row>
    <row r="6964" spans="19:19" x14ac:dyDescent="0.3">
      <c r="S6964" s="6"/>
    </row>
    <row r="6965" spans="19:19" x14ac:dyDescent="0.3">
      <c r="S6965" s="6"/>
    </row>
    <row r="6966" spans="19:19" x14ac:dyDescent="0.3">
      <c r="S6966" s="6"/>
    </row>
    <row r="6967" spans="19:19" x14ac:dyDescent="0.3">
      <c r="S6967" s="6"/>
    </row>
    <row r="6968" spans="19:19" x14ac:dyDescent="0.3">
      <c r="S6968" s="6"/>
    </row>
    <row r="6969" spans="19:19" x14ac:dyDescent="0.3">
      <c r="S6969" s="6"/>
    </row>
    <row r="6970" spans="19:19" x14ac:dyDescent="0.3">
      <c r="S6970" s="6"/>
    </row>
    <row r="6971" spans="19:19" x14ac:dyDescent="0.3">
      <c r="S6971" s="6"/>
    </row>
    <row r="6972" spans="19:19" x14ac:dyDescent="0.3">
      <c r="S6972" s="6"/>
    </row>
    <row r="6973" spans="19:19" x14ac:dyDescent="0.3">
      <c r="S6973" s="6"/>
    </row>
    <row r="6974" spans="19:19" x14ac:dyDescent="0.3">
      <c r="S6974" s="6"/>
    </row>
    <row r="6975" spans="19:19" x14ac:dyDescent="0.3">
      <c r="S6975" s="6"/>
    </row>
    <row r="6976" spans="19:19" x14ac:dyDescent="0.3">
      <c r="S6976" s="6"/>
    </row>
    <row r="6977" spans="19:19" x14ac:dyDescent="0.3">
      <c r="S6977" s="6"/>
    </row>
    <row r="6978" spans="19:19" x14ac:dyDescent="0.3">
      <c r="S6978" s="6"/>
    </row>
    <row r="6979" spans="19:19" x14ac:dyDescent="0.3">
      <c r="S6979" s="6"/>
    </row>
    <row r="6980" spans="19:19" x14ac:dyDescent="0.3">
      <c r="S6980" s="6"/>
    </row>
    <row r="6981" spans="19:19" x14ac:dyDescent="0.3">
      <c r="S6981" s="6"/>
    </row>
    <row r="6982" spans="19:19" x14ac:dyDescent="0.3">
      <c r="S6982" s="6"/>
    </row>
    <row r="6983" spans="19:19" x14ac:dyDescent="0.3">
      <c r="S6983" s="6"/>
    </row>
    <row r="6984" spans="19:19" x14ac:dyDescent="0.3">
      <c r="S6984" s="6"/>
    </row>
    <row r="6985" spans="19:19" x14ac:dyDescent="0.3">
      <c r="S6985" s="6"/>
    </row>
    <row r="6986" spans="19:19" x14ac:dyDescent="0.3">
      <c r="S6986" s="6"/>
    </row>
    <row r="6987" spans="19:19" x14ac:dyDescent="0.3">
      <c r="S6987" s="6"/>
    </row>
    <row r="6988" spans="19:19" x14ac:dyDescent="0.3">
      <c r="S6988" s="6"/>
    </row>
    <row r="6989" spans="19:19" x14ac:dyDescent="0.3">
      <c r="S6989" s="6"/>
    </row>
    <row r="6990" spans="19:19" x14ac:dyDescent="0.3">
      <c r="S6990" s="6"/>
    </row>
    <row r="6991" spans="19:19" x14ac:dyDescent="0.3">
      <c r="S6991" s="6"/>
    </row>
    <row r="6992" spans="19:19" x14ac:dyDescent="0.3">
      <c r="S6992" s="6"/>
    </row>
    <row r="6993" spans="19:19" x14ac:dyDescent="0.3">
      <c r="S6993" s="6"/>
    </row>
    <row r="6994" spans="19:19" x14ac:dyDescent="0.3">
      <c r="S6994" s="6"/>
    </row>
    <row r="6995" spans="19:19" x14ac:dyDescent="0.3">
      <c r="S6995" s="6"/>
    </row>
    <row r="6996" spans="19:19" x14ac:dyDescent="0.3">
      <c r="S6996" s="6"/>
    </row>
    <row r="6997" spans="19:19" x14ac:dyDescent="0.3">
      <c r="S6997" s="6"/>
    </row>
    <row r="6998" spans="19:19" x14ac:dyDescent="0.3">
      <c r="S6998" s="6"/>
    </row>
    <row r="6999" spans="19:19" x14ac:dyDescent="0.3">
      <c r="S6999" s="6"/>
    </row>
    <row r="7000" spans="19:19" x14ac:dyDescent="0.3">
      <c r="S7000" s="6"/>
    </row>
    <row r="7001" spans="19:19" x14ac:dyDescent="0.3">
      <c r="S7001" s="6"/>
    </row>
    <row r="7002" spans="19:19" x14ac:dyDescent="0.3">
      <c r="S7002" s="6"/>
    </row>
    <row r="7003" spans="19:19" x14ac:dyDescent="0.3">
      <c r="S7003" s="6"/>
    </row>
    <row r="7004" spans="19:19" x14ac:dyDescent="0.3">
      <c r="S7004" s="6"/>
    </row>
    <row r="7005" spans="19:19" x14ac:dyDescent="0.3">
      <c r="S7005" s="6"/>
    </row>
    <row r="7006" spans="19:19" x14ac:dyDescent="0.3">
      <c r="S7006" s="6"/>
    </row>
    <row r="7007" spans="19:19" x14ac:dyDescent="0.3">
      <c r="S7007" s="6"/>
    </row>
    <row r="7008" spans="19:19" x14ac:dyDescent="0.3">
      <c r="S7008" s="6"/>
    </row>
    <row r="7009" spans="19:19" x14ac:dyDescent="0.3">
      <c r="S7009" s="6"/>
    </row>
    <row r="7010" spans="19:19" x14ac:dyDescent="0.3">
      <c r="S7010" s="6"/>
    </row>
    <row r="7011" spans="19:19" x14ac:dyDescent="0.3">
      <c r="S7011" s="6"/>
    </row>
    <row r="7012" spans="19:19" x14ac:dyDescent="0.3">
      <c r="S7012" s="6"/>
    </row>
    <row r="7013" spans="19:19" x14ac:dyDescent="0.3">
      <c r="S7013" s="6"/>
    </row>
    <row r="7014" spans="19:19" x14ac:dyDescent="0.3">
      <c r="S7014" s="6"/>
    </row>
    <row r="7015" spans="19:19" x14ac:dyDescent="0.3">
      <c r="S7015" s="6"/>
    </row>
    <row r="7016" spans="19:19" x14ac:dyDescent="0.3">
      <c r="S7016" s="6"/>
    </row>
    <row r="7017" spans="19:19" x14ac:dyDescent="0.3">
      <c r="S7017" s="6"/>
    </row>
    <row r="7018" spans="19:19" x14ac:dyDescent="0.3">
      <c r="S7018" s="6"/>
    </row>
    <row r="7019" spans="19:19" x14ac:dyDescent="0.3">
      <c r="S7019" s="6"/>
    </row>
    <row r="7020" spans="19:19" x14ac:dyDescent="0.3">
      <c r="S7020" s="6"/>
    </row>
    <row r="7021" spans="19:19" x14ac:dyDescent="0.3">
      <c r="S7021" s="6"/>
    </row>
    <row r="7022" spans="19:19" x14ac:dyDescent="0.3">
      <c r="S7022" s="6"/>
    </row>
    <row r="7023" spans="19:19" x14ac:dyDescent="0.3">
      <c r="S7023" s="6"/>
    </row>
    <row r="7024" spans="19:19" x14ac:dyDescent="0.3">
      <c r="S7024" s="6"/>
    </row>
    <row r="7025" spans="19:19" x14ac:dyDescent="0.3">
      <c r="S7025" s="6"/>
    </row>
    <row r="7026" spans="19:19" x14ac:dyDescent="0.3">
      <c r="S7026" s="6"/>
    </row>
    <row r="7027" spans="19:19" x14ac:dyDescent="0.3">
      <c r="S7027" s="6"/>
    </row>
    <row r="7028" spans="19:19" x14ac:dyDescent="0.3">
      <c r="S7028" s="6"/>
    </row>
    <row r="7029" spans="19:19" x14ac:dyDescent="0.3">
      <c r="S7029" s="6"/>
    </row>
    <row r="7030" spans="19:19" x14ac:dyDescent="0.3">
      <c r="S7030" s="6"/>
    </row>
    <row r="7031" spans="19:19" x14ac:dyDescent="0.3">
      <c r="S7031" s="6"/>
    </row>
    <row r="7032" spans="19:19" x14ac:dyDescent="0.3">
      <c r="S7032" s="6"/>
    </row>
    <row r="7033" spans="19:19" x14ac:dyDescent="0.3">
      <c r="S7033" s="6"/>
    </row>
    <row r="7034" spans="19:19" x14ac:dyDescent="0.3">
      <c r="S7034" s="6"/>
    </row>
    <row r="7035" spans="19:19" x14ac:dyDescent="0.3">
      <c r="S7035" s="6"/>
    </row>
    <row r="7036" spans="19:19" x14ac:dyDescent="0.3">
      <c r="S7036" s="6"/>
    </row>
    <row r="7037" spans="19:19" x14ac:dyDescent="0.3">
      <c r="S7037" s="6"/>
    </row>
    <row r="7038" spans="19:19" x14ac:dyDescent="0.3">
      <c r="S7038" s="6"/>
    </row>
    <row r="7039" spans="19:19" x14ac:dyDescent="0.3">
      <c r="S7039" s="6"/>
    </row>
    <row r="7040" spans="19:19" x14ac:dyDescent="0.3">
      <c r="S7040" s="6"/>
    </row>
    <row r="7041" spans="19:19" x14ac:dyDescent="0.3">
      <c r="S7041" s="6"/>
    </row>
    <row r="7042" spans="19:19" x14ac:dyDescent="0.3">
      <c r="S7042" s="6"/>
    </row>
    <row r="7043" spans="19:19" x14ac:dyDescent="0.3">
      <c r="S7043" s="6"/>
    </row>
    <row r="7044" spans="19:19" x14ac:dyDescent="0.3">
      <c r="S7044" s="6"/>
    </row>
    <row r="7045" spans="19:19" x14ac:dyDescent="0.3">
      <c r="S7045" s="6"/>
    </row>
    <row r="7046" spans="19:19" x14ac:dyDescent="0.3">
      <c r="S7046" s="6"/>
    </row>
    <row r="7047" spans="19:19" x14ac:dyDescent="0.3">
      <c r="S7047" s="6"/>
    </row>
    <row r="7048" spans="19:19" x14ac:dyDescent="0.3">
      <c r="S7048" s="6"/>
    </row>
    <row r="7049" spans="19:19" x14ac:dyDescent="0.3">
      <c r="S7049" s="6"/>
    </row>
    <row r="7050" spans="19:19" x14ac:dyDescent="0.3">
      <c r="S7050" s="6"/>
    </row>
    <row r="7051" spans="19:19" x14ac:dyDescent="0.3">
      <c r="S7051" s="6"/>
    </row>
    <row r="7052" spans="19:19" x14ac:dyDescent="0.3">
      <c r="S7052" s="6"/>
    </row>
    <row r="7053" spans="19:19" x14ac:dyDescent="0.3">
      <c r="S7053" s="6"/>
    </row>
    <row r="7054" spans="19:19" x14ac:dyDescent="0.3">
      <c r="S7054" s="6"/>
    </row>
    <row r="7055" spans="19:19" x14ac:dyDescent="0.3">
      <c r="S7055" s="6"/>
    </row>
    <row r="7056" spans="19:19" x14ac:dyDescent="0.3">
      <c r="S7056" s="6"/>
    </row>
    <row r="7057" spans="19:19" x14ac:dyDescent="0.3">
      <c r="S7057" s="6"/>
    </row>
    <row r="7058" spans="19:19" x14ac:dyDescent="0.3">
      <c r="S7058" s="6"/>
    </row>
    <row r="7059" spans="19:19" x14ac:dyDescent="0.3">
      <c r="S7059" s="6"/>
    </row>
    <row r="7060" spans="19:19" x14ac:dyDescent="0.3">
      <c r="S7060" s="6"/>
    </row>
    <row r="7061" spans="19:19" x14ac:dyDescent="0.3">
      <c r="S7061" s="6"/>
    </row>
    <row r="7062" spans="19:19" x14ac:dyDescent="0.3">
      <c r="S7062" s="6"/>
    </row>
    <row r="7063" spans="19:19" x14ac:dyDescent="0.3">
      <c r="S7063" s="6"/>
    </row>
    <row r="7064" spans="19:19" x14ac:dyDescent="0.3">
      <c r="S7064" s="6"/>
    </row>
    <row r="7065" spans="19:19" x14ac:dyDescent="0.3">
      <c r="S7065" s="6"/>
    </row>
    <row r="7066" spans="19:19" x14ac:dyDescent="0.3">
      <c r="S7066" s="6"/>
    </row>
    <row r="7067" spans="19:19" x14ac:dyDescent="0.3">
      <c r="S7067" s="6"/>
    </row>
    <row r="7068" spans="19:19" x14ac:dyDescent="0.3">
      <c r="S7068" s="6"/>
    </row>
    <row r="7069" spans="19:19" x14ac:dyDescent="0.3">
      <c r="S7069" s="6"/>
    </row>
    <row r="7070" spans="19:19" x14ac:dyDescent="0.3">
      <c r="S7070" s="6"/>
    </row>
    <row r="7071" spans="19:19" x14ac:dyDescent="0.3">
      <c r="S7071" s="6"/>
    </row>
    <row r="7072" spans="19:19" x14ac:dyDescent="0.3">
      <c r="S7072" s="6"/>
    </row>
    <row r="7073" spans="19:19" x14ac:dyDescent="0.3">
      <c r="S7073" s="6"/>
    </row>
    <row r="7074" spans="19:19" x14ac:dyDescent="0.3">
      <c r="S7074" s="6"/>
    </row>
    <row r="7075" spans="19:19" x14ac:dyDescent="0.3">
      <c r="S7075" s="6"/>
    </row>
    <row r="7076" spans="19:19" x14ac:dyDescent="0.3">
      <c r="S7076" s="6"/>
    </row>
    <row r="7077" spans="19:19" x14ac:dyDescent="0.3">
      <c r="S7077" s="6"/>
    </row>
    <row r="7078" spans="19:19" x14ac:dyDescent="0.3">
      <c r="S7078" s="6"/>
    </row>
    <row r="7079" spans="19:19" x14ac:dyDescent="0.3">
      <c r="S7079" s="6"/>
    </row>
    <row r="7080" spans="19:19" x14ac:dyDescent="0.3">
      <c r="S7080" s="6"/>
    </row>
    <row r="7081" spans="19:19" x14ac:dyDescent="0.3">
      <c r="S7081" s="6"/>
    </row>
    <row r="7082" spans="19:19" x14ac:dyDescent="0.3">
      <c r="S7082" s="6"/>
    </row>
    <row r="7083" spans="19:19" x14ac:dyDescent="0.3">
      <c r="S7083" s="6"/>
    </row>
    <row r="7084" spans="19:19" x14ac:dyDescent="0.3">
      <c r="S7084" s="6"/>
    </row>
    <row r="7085" spans="19:19" x14ac:dyDescent="0.3">
      <c r="S7085" s="6"/>
    </row>
    <row r="7086" spans="19:19" x14ac:dyDescent="0.3">
      <c r="S7086" s="6"/>
    </row>
    <row r="7087" spans="19:19" x14ac:dyDescent="0.3">
      <c r="S7087" s="6"/>
    </row>
    <row r="7088" spans="19:19" x14ac:dyDescent="0.3">
      <c r="S7088" s="6"/>
    </row>
    <row r="7089" spans="19:19" x14ac:dyDescent="0.3">
      <c r="S7089" s="6"/>
    </row>
    <row r="7090" spans="19:19" x14ac:dyDescent="0.3">
      <c r="S7090" s="6"/>
    </row>
    <row r="7091" spans="19:19" x14ac:dyDescent="0.3">
      <c r="S7091" s="6"/>
    </row>
    <row r="7092" spans="19:19" x14ac:dyDescent="0.3">
      <c r="S7092" s="6"/>
    </row>
    <row r="7093" spans="19:19" x14ac:dyDescent="0.3">
      <c r="S7093" s="6"/>
    </row>
    <row r="7094" spans="19:19" x14ac:dyDescent="0.3">
      <c r="S7094" s="6"/>
    </row>
    <row r="7095" spans="19:19" x14ac:dyDescent="0.3">
      <c r="S7095" s="6"/>
    </row>
    <row r="7096" spans="19:19" x14ac:dyDescent="0.3">
      <c r="S7096" s="6"/>
    </row>
    <row r="7097" spans="19:19" x14ac:dyDescent="0.3">
      <c r="S7097" s="6"/>
    </row>
    <row r="7098" spans="19:19" x14ac:dyDescent="0.3">
      <c r="S7098" s="6"/>
    </row>
    <row r="7099" spans="19:19" x14ac:dyDescent="0.3">
      <c r="S7099" s="6"/>
    </row>
    <row r="7100" spans="19:19" x14ac:dyDescent="0.3">
      <c r="S7100" s="6"/>
    </row>
    <row r="7101" spans="19:19" x14ac:dyDescent="0.3">
      <c r="S7101" s="6"/>
    </row>
    <row r="7102" spans="19:19" x14ac:dyDescent="0.3">
      <c r="S7102" s="6"/>
    </row>
    <row r="7103" spans="19:19" x14ac:dyDescent="0.3">
      <c r="S7103" s="6"/>
    </row>
    <row r="7104" spans="19:19" x14ac:dyDescent="0.3">
      <c r="S7104" s="6"/>
    </row>
    <row r="7105" spans="19:19" x14ac:dyDescent="0.3">
      <c r="S7105" s="6"/>
    </row>
    <row r="7106" spans="19:19" x14ac:dyDescent="0.3">
      <c r="S7106" s="6"/>
    </row>
    <row r="7107" spans="19:19" x14ac:dyDescent="0.3">
      <c r="S7107" s="6"/>
    </row>
    <row r="7108" spans="19:19" x14ac:dyDescent="0.3">
      <c r="S7108" s="6"/>
    </row>
    <row r="7109" spans="19:19" x14ac:dyDescent="0.3">
      <c r="S7109" s="6"/>
    </row>
    <row r="7110" spans="19:19" x14ac:dyDescent="0.3">
      <c r="S7110" s="6"/>
    </row>
    <row r="7111" spans="19:19" x14ac:dyDescent="0.3">
      <c r="S7111" s="6"/>
    </row>
    <row r="7112" spans="19:19" x14ac:dyDescent="0.3">
      <c r="S7112" s="6"/>
    </row>
    <row r="7113" spans="19:19" x14ac:dyDescent="0.3">
      <c r="S7113" s="6"/>
    </row>
    <row r="7114" spans="19:19" x14ac:dyDescent="0.3">
      <c r="S7114" s="6"/>
    </row>
    <row r="7115" spans="19:19" x14ac:dyDescent="0.3">
      <c r="S7115" s="6"/>
    </row>
    <row r="7116" spans="19:19" x14ac:dyDescent="0.3">
      <c r="S7116" s="6"/>
    </row>
    <row r="7117" spans="19:19" x14ac:dyDescent="0.3">
      <c r="S7117" s="6"/>
    </row>
    <row r="7118" spans="19:19" x14ac:dyDescent="0.3">
      <c r="S7118" s="6"/>
    </row>
    <row r="7119" spans="19:19" x14ac:dyDescent="0.3">
      <c r="S7119" s="6"/>
    </row>
    <row r="7120" spans="19:19" x14ac:dyDescent="0.3">
      <c r="S7120" s="6"/>
    </row>
    <row r="7121" spans="19:19" x14ac:dyDescent="0.3">
      <c r="S7121" s="6"/>
    </row>
    <row r="7122" spans="19:19" x14ac:dyDescent="0.3">
      <c r="S7122" s="6"/>
    </row>
    <row r="7123" spans="19:19" x14ac:dyDescent="0.3">
      <c r="S7123" s="6"/>
    </row>
    <row r="7124" spans="19:19" x14ac:dyDescent="0.3">
      <c r="S7124" s="6"/>
    </row>
    <row r="7125" spans="19:19" x14ac:dyDescent="0.3">
      <c r="S7125" s="6"/>
    </row>
    <row r="7126" spans="19:19" x14ac:dyDescent="0.3">
      <c r="S7126" s="6"/>
    </row>
    <row r="7127" spans="19:19" x14ac:dyDescent="0.3">
      <c r="S7127" s="6"/>
    </row>
    <row r="7128" spans="19:19" x14ac:dyDescent="0.3">
      <c r="S7128" s="6"/>
    </row>
    <row r="7129" spans="19:19" x14ac:dyDescent="0.3">
      <c r="S7129" s="6"/>
    </row>
    <row r="7130" spans="19:19" x14ac:dyDescent="0.3">
      <c r="S7130" s="6"/>
    </row>
    <row r="7131" spans="19:19" x14ac:dyDescent="0.3">
      <c r="S7131" s="6"/>
    </row>
    <row r="7132" spans="19:19" x14ac:dyDescent="0.3">
      <c r="S7132" s="6"/>
    </row>
    <row r="7133" spans="19:19" x14ac:dyDescent="0.3">
      <c r="S7133" s="6"/>
    </row>
    <row r="7134" spans="19:19" x14ac:dyDescent="0.3">
      <c r="S7134" s="6"/>
    </row>
    <row r="7135" spans="19:19" x14ac:dyDescent="0.3">
      <c r="S7135" s="6"/>
    </row>
    <row r="7136" spans="19:19" x14ac:dyDescent="0.3">
      <c r="S7136" s="6"/>
    </row>
    <row r="7137" spans="19:19" x14ac:dyDescent="0.3">
      <c r="S7137" s="6"/>
    </row>
    <row r="7138" spans="19:19" x14ac:dyDescent="0.3">
      <c r="S7138" s="6"/>
    </row>
    <row r="7139" spans="19:19" x14ac:dyDescent="0.3">
      <c r="S7139" s="6"/>
    </row>
    <row r="7140" spans="19:19" x14ac:dyDescent="0.3">
      <c r="S7140" s="6"/>
    </row>
    <row r="7141" spans="19:19" x14ac:dyDescent="0.3">
      <c r="S7141" s="6"/>
    </row>
    <row r="7142" spans="19:19" x14ac:dyDescent="0.3">
      <c r="S7142" s="6"/>
    </row>
    <row r="7143" spans="19:19" x14ac:dyDescent="0.3">
      <c r="S7143" s="6"/>
    </row>
    <row r="7144" spans="19:19" x14ac:dyDescent="0.3">
      <c r="S7144" s="6"/>
    </row>
    <row r="7145" spans="19:19" x14ac:dyDescent="0.3">
      <c r="S7145" s="6"/>
    </row>
    <row r="7146" spans="19:19" x14ac:dyDescent="0.3">
      <c r="S7146" s="6"/>
    </row>
    <row r="7147" spans="19:19" x14ac:dyDescent="0.3">
      <c r="S7147" s="6"/>
    </row>
    <row r="7148" spans="19:19" x14ac:dyDescent="0.3">
      <c r="S7148" s="6"/>
    </row>
    <row r="7149" spans="19:19" x14ac:dyDescent="0.3">
      <c r="S7149" s="6"/>
    </row>
    <row r="7150" spans="19:19" x14ac:dyDescent="0.3">
      <c r="S7150" s="6"/>
    </row>
    <row r="7151" spans="19:19" x14ac:dyDescent="0.3">
      <c r="S7151" s="6"/>
    </row>
    <row r="7152" spans="19:19" x14ac:dyDescent="0.3">
      <c r="S7152" s="6"/>
    </row>
    <row r="7153" spans="19:19" x14ac:dyDescent="0.3">
      <c r="S7153" s="6"/>
    </row>
    <row r="7154" spans="19:19" x14ac:dyDescent="0.3">
      <c r="S7154" s="6"/>
    </row>
    <row r="7155" spans="19:19" x14ac:dyDescent="0.3">
      <c r="S7155" s="6"/>
    </row>
    <row r="7156" spans="19:19" x14ac:dyDescent="0.3">
      <c r="S7156" s="6"/>
    </row>
    <row r="7157" spans="19:19" x14ac:dyDescent="0.3">
      <c r="S7157" s="6"/>
    </row>
    <row r="7158" spans="19:19" x14ac:dyDescent="0.3">
      <c r="S7158" s="6"/>
    </row>
    <row r="7159" spans="19:19" x14ac:dyDescent="0.3">
      <c r="S7159" s="6"/>
    </row>
    <row r="7160" spans="19:19" x14ac:dyDescent="0.3">
      <c r="S7160" s="6"/>
    </row>
    <row r="7161" spans="19:19" x14ac:dyDescent="0.3">
      <c r="S7161" s="6"/>
    </row>
    <row r="7162" spans="19:19" x14ac:dyDescent="0.3">
      <c r="S7162" s="6"/>
    </row>
    <row r="7163" spans="19:19" x14ac:dyDescent="0.3">
      <c r="S7163" s="6"/>
    </row>
    <row r="7164" spans="19:19" x14ac:dyDescent="0.3">
      <c r="S7164" s="6"/>
    </row>
    <row r="7165" spans="19:19" x14ac:dyDescent="0.3">
      <c r="S7165" s="6"/>
    </row>
    <row r="7166" spans="19:19" x14ac:dyDescent="0.3">
      <c r="S7166" s="6"/>
    </row>
    <row r="7167" spans="19:19" x14ac:dyDescent="0.3">
      <c r="S7167" s="6"/>
    </row>
    <row r="7168" spans="19:19" x14ac:dyDescent="0.3">
      <c r="S7168" s="6"/>
    </row>
    <row r="7169" spans="19:19" x14ac:dyDescent="0.3">
      <c r="S7169" s="6"/>
    </row>
    <row r="7170" spans="19:19" x14ac:dyDescent="0.3">
      <c r="S7170" s="6"/>
    </row>
    <row r="7171" spans="19:19" x14ac:dyDescent="0.3">
      <c r="S7171" s="6"/>
    </row>
    <row r="7172" spans="19:19" x14ac:dyDescent="0.3">
      <c r="S7172" s="6"/>
    </row>
    <row r="7173" spans="19:19" x14ac:dyDescent="0.3">
      <c r="S7173" s="6"/>
    </row>
    <row r="7174" spans="19:19" x14ac:dyDescent="0.3">
      <c r="S7174" s="6"/>
    </row>
    <row r="7175" spans="19:19" x14ac:dyDescent="0.3">
      <c r="S7175" s="6"/>
    </row>
    <row r="7176" spans="19:19" x14ac:dyDescent="0.3">
      <c r="S7176" s="6"/>
    </row>
    <row r="7177" spans="19:19" x14ac:dyDescent="0.3">
      <c r="S7177" s="6"/>
    </row>
    <row r="7178" spans="19:19" x14ac:dyDescent="0.3">
      <c r="S7178" s="6"/>
    </row>
    <row r="7179" spans="19:19" x14ac:dyDescent="0.3">
      <c r="S7179" s="6"/>
    </row>
    <row r="7180" spans="19:19" x14ac:dyDescent="0.3">
      <c r="S7180" s="6"/>
    </row>
    <row r="7181" spans="19:19" x14ac:dyDescent="0.3">
      <c r="S7181" s="6"/>
    </row>
    <row r="7182" spans="19:19" x14ac:dyDescent="0.3">
      <c r="S7182" s="6"/>
    </row>
    <row r="7183" spans="19:19" x14ac:dyDescent="0.3">
      <c r="S7183" s="6"/>
    </row>
    <row r="7184" spans="19:19" x14ac:dyDescent="0.3">
      <c r="S7184" s="6"/>
    </row>
    <row r="7185" spans="19:19" x14ac:dyDescent="0.3">
      <c r="S7185" s="6"/>
    </row>
    <row r="7186" spans="19:19" x14ac:dyDescent="0.3">
      <c r="S7186" s="6"/>
    </row>
    <row r="7187" spans="19:19" x14ac:dyDescent="0.3">
      <c r="S7187" s="6"/>
    </row>
    <row r="7188" spans="19:19" x14ac:dyDescent="0.3">
      <c r="S7188" s="6"/>
    </row>
    <row r="7189" spans="19:19" x14ac:dyDescent="0.3">
      <c r="S7189" s="6"/>
    </row>
    <row r="7190" spans="19:19" x14ac:dyDescent="0.3">
      <c r="S7190" s="6"/>
    </row>
    <row r="7191" spans="19:19" x14ac:dyDescent="0.3">
      <c r="S7191" s="6"/>
    </row>
    <row r="7192" spans="19:19" x14ac:dyDescent="0.3">
      <c r="S7192" s="6"/>
    </row>
    <row r="7193" spans="19:19" x14ac:dyDescent="0.3">
      <c r="S7193" s="6"/>
    </row>
    <row r="7194" spans="19:19" x14ac:dyDescent="0.3">
      <c r="S7194" s="6"/>
    </row>
    <row r="7195" spans="19:19" x14ac:dyDescent="0.3">
      <c r="S7195" s="6"/>
    </row>
    <row r="7196" spans="19:19" x14ac:dyDescent="0.3">
      <c r="S7196" s="6"/>
    </row>
    <row r="7197" spans="19:19" x14ac:dyDescent="0.3">
      <c r="S7197" s="6"/>
    </row>
    <row r="7198" spans="19:19" x14ac:dyDescent="0.3">
      <c r="S7198" s="6"/>
    </row>
    <row r="7199" spans="19:19" x14ac:dyDescent="0.3">
      <c r="S7199" s="6"/>
    </row>
    <row r="7200" spans="19:19" x14ac:dyDescent="0.3">
      <c r="S7200" s="6"/>
    </row>
    <row r="7201" spans="19:19" x14ac:dyDescent="0.3">
      <c r="S7201" s="6"/>
    </row>
    <row r="7202" spans="19:19" x14ac:dyDescent="0.3">
      <c r="S7202" s="6"/>
    </row>
    <row r="7203" spans="19:19" x14ac:dyDescent="0.3">
      <c r="S7203" s="6"/>
    </row>
    <row r="7204" spans="19:19" x14ac:dyDescent="0.3">
      <c r="S7204" s="6"/>
    </row>
    <row r="7205" spans="19:19" x14ac:dyDescent="0.3">
      <c r="S7205" s="6"/>
    </row>
    <row r="7206" spans="19:19" x14ac:dyDescent="0.3">
      <c r="S7206" s="6"/>
    </row>
    <row r="7207" spans="19:19" x14ac:dyDescent="0.3">
      <c r="S7207" s="6"/>
    </row>
    <row r="7208" spans="19:19" x14ac:dyDescent="0.3">
      <c r="S7208" s="6"/>
    </row>
    <row r="7209" spans="19:19" x14ac:dyDescent="0.3">
      <c r="S7209" s="6"/>
    </row>
    <row r="7210" spans="19:19" x14ac:dyDescent="0.3">
      <c r="S7210" s="6"/>
    </row>
    <row r="7211" spans="19:19" x14ac:dyDescent="0.3">
      <c r="S7211" s="6"/>
    </row>
    <row r="7212" spans="19:19" x14ac:dyDescent="0.3">
      <c r="S7212" s="6"/>
    </row>
    <row r="7213" spans="19:19" x14ac:dyDescent="0.3">
      <c r="S7213" s="6"/>
    </row>
    <row r="7214" spans="19:19" x14ac:dyDescent="0.3">
      <c r="S7214" s="6"/>
    </row>
    <row r="7215" spans="19:19" x14ac:dyDescent="0.3">
      <c r="S7215" s="6"/>
    </row>
    <row r="7216" spans="19:19" x14ac:dyDescent="0.3">
      <c r="S7216" s="6"/>
    </row>
    <row r="7217" spans="19:19" x14ac:dyDescent="0.3">
      <c r="S7217" s="6"/>
    </row>
    <row r="7218" spans="19:19" x14ac:dyDescent="0.3">
      <c r="S7218" s="6"/>
    </row>
    <row r="7219" spans="19:19" x14ac:dyDescent="0.3">
      <c r="S7219" s="6"/>
    </row>
    <row r="7220" spans="19:19" x14ac:dyDescent="0.3">
      <c r="S7220" s="6"/>
    </row>
    <row r="7221" spans="19:19" x14ac:dyDescent="0.3">
      <c r="S7221" s="6"/>
    </row>
    <row r="7222" spans="19:19" x14ac:dyDescent="0.3">
      <c r="S7222" s="6"/>
    </row>
    <row r="7223" spans="19:19" x14ac:dyDescent="0.3">
      <c r="S7223" s="6"/>
    </row>
    <row r="7224" spans="19:19" x14ac:dyDescent="0.3">
      <c r="S7224" s="6"/>
    </row>
    <row r="7225" spans="19:19" x14ac:dyDescent="0.3">
      <c r="S7225" s="6"/>
    </row>
    <row r="7226" spans="19:19" x14ac:dyDescent="0.3">
      <c r="S7226" s="6"/>
    </row>
    <row r="7227" spans="19:19" x14ac:dyDescent="0.3">
      <c r="S7227" s="6"/>
    </row>
    <row r="7228" spans="19:19" x14ac:dyDescent="0.3">
      <c r="S7228" s="6"/>
    </row>
    <row r="7229" spans="19:19" x14ac:dyDescent="0.3">
      <c r="S7229" s="6"/>
    </row>
    <row r="7230" spans="19:19" x14ac:dyDescent="0.3">
      <c r="S7230" s="6"/>
    </row>
    <row r="7231" spans="19:19" x14ac:dyDescent="0.3">
      <c r="S7231" s="6"/>
    </row>
    <row r="7232" spans="19:19" x14ac:dyDescent="0.3">
      <c r="S7232" s="6"/>
    </row>
    <row r="7233" spans="19:19" x14ac:dyDescent="0.3">
      <c r="S7233" s="6"/>
    </row>
    <row r="7234" spans="19:19" x14ac:dyDescent="0.3">
      <c r="S7234" s="6"/>
    </row>
    <row r="7235" spans="19:19" x14ac:dyDescent="0.3">
      <c r="S7235" s="6"/>
    </row>
    <row r="7236" spans="19:19" x14ac:dyDescent="0.3">
      <c r="S7236" s="6"/>
    </row>
    <row r="7237" spans="19:19" x14ac:dyDescent="0.3">
      <c r="S7237" s="6"/>
    </row>
    <row r="7238" spans="19:19" x14ac:dyDescent="0.3">
      <c r="S7238" s="6"/>
    </row>
    <row r="7239" spans="19:19" x14ac:dyDescent="0.3">
      <c r="S7239" s="6"/>
    </row>
    <row r="7240" spans="19:19" x14ac:dyDescent="0.3">
      <c r="S7240" s="6"/>
    </row>
    <row r="7241" spans="19:19" x14ac:dyDescent="0.3">
      <c r="S7241" s="6"/>
    </row>
    <row r="7242" spans="19:19" x14ac:dyDescent="0.3">
      <c r="S7242" s="6"/>
    </row>
    <row r="7243" spans="19:19" x14ac:dyDescent="0.3">
      <c r="S7243" s="6"/>
    </row>
    <row r="7244" spans="19:19" x14ac:dyDescent="0.3">
      <c r="S7244" s="6"/>
    </row>
    <row r="7245" spans="19:19" x14ac:dyDescent="0.3">
      <c r="S7245" s="6"/>
    </row>
    <row r="7246" spans="19:19" x14ac:dyDescent="0.3">
      <c r="S7246" s="6"/>
    </row>
    <row r="7247" spans="19:19" x14ac:dyDescent="0.3">
      <c r="S7247" s="6"/>
    </row>
    <row r="7248" spans="19:19" x14ac:dyDescent="0.3">
      <c r="S7248" s="6"/>
    </row>
    <row r="7249" spans="19:19" x14ac:dyDescent="0.3">
      <c r="S7249" s="6"/>
    </row>
    <row r="7250" spans="19:19" x14ac:dyDescent="0.3">
      <c r="S7250" s="6"/>
    </row>
    <row r="7251" spans="19:19" x14ac:dyDescent="0.3">
      <c r="S7251" s="6"/>
    </row>
    <row r="7252" spans="19:19" x14ac:dyDescent="0.3">
      <c r="S7252" s="6"/>
    </row>
    <row r="7253" spans="19:19" x14ac:dyDescent="0.3">
      <c r="S7253" s="6"/>
    </row>
    <row r="7254" spans="19:19" x14ac:dyDescent="0.3">
      <c r="S7254" s="6"/>
    </row>
    <row r="7255" spans="19:19" x14ac:dyDescent="0.3">
      <c r="S7255" s="6"/>
    </row>
    <row r="7256" spans="19:19" x14ac:dyDescent="0.3">
      <c r="S7256" s="6"/>
    </row>
    <row r="7257" spans="19:19" x14ac:dyDescent="0.3">
      <c r="S7257" s="6"/>
    </row>
    <row r="7258" spans="19:19" x14ac:dyDescent="0.3">
      <c r="S7258" s="6"/>
    </row>
    <row r="7259" spans="19:19" x14ac:dyDescent="0.3">
      <c r="S7259" s="6"/>
    </row>
    <row r="7260" spans="19:19" x14ac:dyDescent="0.3">
      <c r="S7260" s="6"/>
    </row>
    <row r="7261" spans="19:19" x14ac:dyDescent="0.3">
      <c r="S7261" s="6"/>
    </row>
    <row r="7262" spans="19:19" x14ac:dyDescent="0.3">
      <c r="S7262" s="6"/>
    </row>
    <row r="7263" spans="19:19" x14ac:dyDescent="0.3">
      <c r="S7263" s="6"/>
    </row>
    <row r="7264" spans="19:19" x14ac:dyDescent="0.3">
      <c r="S7264" s="6"/>
    </row>
    <row r="7265" spans="19:19" x14ac:dyDescent="0.3">
      <c r="S7265" s="6"/>
    </row>
    <row r="7266" spans="19:19" x14ac:dyDescent="0.3">
      <c r="S7266" s="6"/>
    </row>
    <row r="7267" spans="19:19" x14ac:dyDescent="0.3">
      <c r="S7267" s="6"/>
    </row>
    <row r="7268" spans="19:19" x14ac:dyDescent="0.3">
      <c r="S7268" s="6"/>
    </row>
    <row r="7269" spans="19:19" x14ac:dyDescent="0.3">
      <c r="S7269" s="6"/>
    </row>
    <row r="7270" spans="19:19" x14ac:dyDescent="0.3">
      <c r="S7270" s="6"/>
    </row>
    <row r="7271" spans="19:19" x14ac:dyDescent="0.3">
      <c r="S7271" s="6"/>
    </row>
    <row r="7272" spans="19:19" x14ac:dyDescent="0.3">
      <c r="S7272" s="6"/>
    </row>
    <row r="7273" spans="19:19" x14ac:dyDescent="0.3">
      <c r="S7273" s="6"/>
    </row>
    <row r="7274" spans="19:19" x14ac:dyDescent="0.3">
      <c r="S7274" s="6"/>
    </row>
    <row r="7275" spans="19:19" x14ac:dyDescent="0.3">
      <c r="S7275" s="6"/>
    </row>
    <row r="7276" spans="19:19" x14ac:dyDescent="0.3">
      <c r="S7276" s="6"/>
    </row>
    <row r="7277" spans="19:19" x14ac:dyDescent="0.3">
      <c r="S7277" s="6"/>
    </row>
    <row r="7278" spans="19:19" x14ac:dyDescent="0.3">
      <c r="S7278" s="6"/>
    </row>
    <row r="7279" spans="19:19" x14ac:dyDescent="0.3">
      <c r="S7279" s="6"/>
    </row>
    <row r="7280" spans="19:19" x14ac:dyDescent="0.3">
      <c r="S7280" s="6"/>
    </row>
    <row r="7281" spans="19:19" x14ac:dyDescent="0.3">
      <c r="S7281" s="6"/>
    </row>
    <row r="7282" spans="19:19" x14ac:dyDescent="0.3">
      <c r="S7282" s="6"/>
    </row>
    <row r="7283" spans="19:19" x14ac:dyDescent="0.3">
      <c r="S7283" s="6"/>
    </row>
    <row r="7284" spans="19:19" x14ac:dyDescent="0.3">
      <c r="S7284" s="6"/>
    </row>
    <row r="7285" spans="19:19" x14ac:dyDescent="0.3">
      <c r="S7285" s="6"/>
    </row>
    <row r="7286" spans="19:19" x14ac:dyDescent="0.3">
      <c r="S7286" s="6"/>
    </row>
    <row r="7287" spans="19:19" x14ac:dyDescent="0.3">
      <c r="S7287" s="6"/>
    </row>
    <row r="7288" spans="19:19" x14ac:dyDescent="0.3">
      <c r="S7288" s="6"/>
    </row>
    <row r="7289" spans="19:19" x14ac:dyDescent="0.3">
      <c r="S7289" s="6"/>
    </row>
    <row r="7290" spans="19:19" x14ac:dyDescent="0.3">
      <c r="S7290" s="6"/>
    </row>
    <row r="7291" spans="19:19" x14ac:dyDescent="0.3">
      <c r="S7291" s="6"/>
    </row>
    <row r="7292" spans="19:19" x14ac:dyDescent="0.3">
      <c r="S7292" s="6"/>
    </row>
    <row r="7293" spans="19:19" x14ac:dyDescent="0.3">
      <c r="S7293" s="6"/>
    </row>
    <row r="7294" spans="19:19" x14ac:dyDescent="0.3">
      <c r="S7294" s="6"/>
    </row>
    <row r="7295" spans="19:19" x14ac:dyDescent="0.3">
      <c r="S7295" s="6"/>
    </row>
    <row r="7296" spans="19:19" x14ac:dyDescent="0.3">
      <c r="S7296" s="6"/>
    </row>
    <row r="7297" spans="19:19" x14ac:dyDescent="0.3">
      <c r="S7297" s="6"/>
    </row>
    <row r="7298" spans="19:19" x14ac:dyDescent="0.3">
      <c r="S7298" s="6"/>
    </row>
    <row r="7299" spans="19:19" x14ac:dyDescent="0.3">
      <c r="S7299" s="6"/>
    </row>
    <row r="7300" spans="19:19" x14ac:dyDescent="0.3">
      <c r="S7300" s="6"/>
    </row>
    <row r="7301" spans="19:19" x14ac:dyDescent="0.3">
      <c r="S7301" s="6"/>
    </row>
    <row r="7302" spans="19:19" x14ac:dyDescent="0.3">
      <c r="S7302" s="6"/>
    </row>
    <row r="7303" spans="19:19" x14ac:dyDescent="0.3">
      <c r="S7303" s="6"/>
    </row>
    <row r="7304" spans="19:19" x14ac:dyDescent="0.3">
      <c r="S7304" s="6"/>
    </row>
    <row r="7305" spans="19:19" x14ac:dyDescent="0.3">
      <c r="S7305" s="6"/>
    </row>
    <row r="7306" spans="19:19" x14ac:dyDescent="0.3">
      <c r="S7306" s="6"/>
    </row>
    <row r="7307" spans="19:19" x14ac:dyDescent="0.3">
      <c r="S7307" s="6"/>
    </row>
    <row r="7308" spans="19:19" x14ac:dyDescent="0.3">
      <c r="S7308" s="6"/>
    </row>
    <row r="7309" spans="19:19" x14ac:dyDescent="0.3">
      <c r="S7309" s="6"/>
    </row>
    <row r="7310" spans="19:19" x14ac:dyDescent="0.3">
      <c r="S7310" s="6"/>
    </row>
    <row r="7311" spans="19:19" x14ac:dyDescent="0.3">
      <c r="S7311" s="6"/>
    </row>
    <row r="7312" spans="19:19" x14ac:dyDescent="0.3">
      <c r="S7312" s="6"/>
    </row>
    <row r="7313" spans="19:19" x14ac:dyDescent="0.3">
      <c r="S7313" s="6"/>
    </row>
    <row r="7314" spans="19:19" x14ac:dyDescent="0.3">
      <c r="S7314" s="6"/>
    </row>
    <row r="7315" spans="19:19" x14ac:dyDescent="0.3">
      <c r="S7315" s="6"/>
    </row>
    <row r="7316" spans="19:19" x14ac:dyDescent="0.3">
      <c r="S7316" s="6"/>
    </row>
    <row r="7317" spans="19:19" x14ac:dyDescent="0.3">
      <c r="S7317" s="6"/>
    </row>
    <row r="7318" spans="19:19" x14ac:dyDescent="0.3">
      <c r="S7318" s="6"/>
    </row>
    <row r="7319" spans="19:19" x14ac:dyDescent="0.3">
      <c r="S7319" s="6"/>
    </row>
    <row r="7320" spans="19:19" x14ac:dyDescent="0.3">
      <c r="S7320" s="6"/>
    </row>
    <row r="7321" spans="19:19" x14ac:dyDescent="0.3">
      <c r="S7321" s="6"/>
    </row>
    <row r="7322" spans="19:19" x14ac:dyDescent="0.3">
      <c r="S7322" s="6"/>
    </row>
    <row r="7323" spans="19:19" x14ac:dyDescent="0.3">
      <c r="S7323" s="6"/>
    </row>
    <row r="7324" spans="19:19" x14ac:dyDescent="0.3">
      <c r="S7324" s="6"/>
    </row>
    <row r="7325" spans="19:19" x14ac:dyDescent="0.3">
      <c r="S7325" s="6"/>
    </row>
    <row r="7326" spans="19:19" x14ac:dyDescent="0.3">
      <c r="S7326" s="6"/>
    </row>
    <row r="7327" spans="19:19" x14ac:dyDescent="0.3">
      <c r="S7327" s="6"/>
    </row>
    <row r="7328" spans="19:19" x14ac:dyDescent="0.3">
      <c r="S7328" s="6"/>
    </row>
    <row r="7329" spans="19:19" x14ac:dyDescent="0.3">
      <c r="S7329" s="6"/>
    </row>
    <row r="7330" spans="19:19" x14ac:dyDescent="0.3">
      <c r="S7330" s="6"/>
    </row>
    <row r="7331" spans="19:19" x14ac:dyDescent="0.3">
      <c r="S7331" s="6"/>
    </row>
    <row r="7332" spans="19:19" x14ac:dyDescent="0.3">
      <c r="S7332" s="6"/>
    </row>
    <row r="7333" spans="19:19" x14ac:dyDescent="0.3">
      <c r="S7333" s="6"/>
    </row>
    <row r="7334" spans="19:19" x14ac:dyDescent="0.3">
      <c r="S7334" s="6"/>
    </row>
    <row r="7335" spans="19:19" x14ac:dyDescent="0.3">
      <c r="S7335" s="6"/>
    </row>
    <row r="7336" spans="19:19" x14ac:dyDescent="0.3">
      <c r="S7336" s="6"/>
    </row>
    <row r="7337" spans="19:19" x14ac:dyDescent="0.3">
      <c r="S7337" s="6"/>
    </row>
    <row r="7338" spans="19:19" x14ac:dyDescent="0.3">
      <c r="S7338" s="6"/>
    </row>
    <row r="7339" spans="19:19" x14ac:dyDescent="0.3">
      <c r="S7339" s="6"/>
    </row>
    <row r="7340" spans="19:19" x14ac:dyDescent="0.3">
      <c r="S7340" s="6"/>
    </row>
    <row r="7341" spans="19:19" x14ac:dyDescent="0.3">
      <c r="S7341" s="6"/>
    </row>
    <row r="7342" spans="19:19" x14ac:dyDescent="0.3">
      <c r="S7342" s="6"/>
    </row>
    <row r="7343" spans="19:19" x14ac:dyDescent="0.3">
      <c r="S7343" s="6"/>
    </row>
    <row r="7344" spans="19:19" x14ac:dyDescent="0.3">
      <c r="S7344" s="6"/>
    </row>
    <row r="7345" spans="19:19" x14ac:dyDescent="0.3">
      <c r="S7345" s="6"/>
    </row>
    <row r="7346" spans="19:19" x14ac:dyDescent="0.3">
      <c r="S7346" s="6"/>
    </row>
    <row r="7347" spans="19:19" x14ac:dyDescent="0.3">
      <c r="S7347" s="6"/>
    </row>
    <row r="7348" spans="19:19" x14ac:dyDescent="0.3">
      <c r="S7348" s="6"/>
    </row>
    <row r="7349" spans="19:19" x14ac:dyDescent="0.3">
      <c r="S7349" s="6"/>
    </row>
    <row r="7350" spans="19:19" x14ac:dyDescent="0.3">
      <c r="S7350" s="6"/>
    </row>
    <row r="7351" spans="19:19" x14ac:dyDescent="0.3">
      <c r="S7351" s="6"/>
    </row>
    <row r="7352" spans="19:19" x14ac:dyDescent="0.3">
      <c r="S7352" s="6"/>
    </row>
    <row r="7353" spans="19:19" x14ac:dyDescent="0.3">
      <c r="S7353" s="6"/>
    </row>
    <row r="7354" spans="19:19" x14ac:dyDescent="0.3">
      <c r="S7354" s="6"/>
    </row>
    <row r="7355" spans="19:19" x14ac:dyDescent="0.3">
      <c r="S7355" s="6"/>
    </row>
    <row r="7356" spans="19:19" x14ac:dyDescent="0.3">
      <c r="S7356" s="6"/>
    </row>
    <row r="7357" spans="19:19" x14ac:dyDescent="0.3">
      <c r="S7357" s="6"/>
    </row>
    <row r="7358" spans="19:19" x14ac:dyDescent="0.3">
      <c r="S7358" s="6"/>
    </row>
    <row r="7359" spans="19:19" x14ac:dyDescent="0.3">
      <c r="S7359" s="6"/>
    </row>
    <row r="7360" spans="19:19" x14ac:dyDescent="0.3">
      <c r="S7360" s="6"/>
    </row>
    <row r="7361" spans="19:19" x14ac:dyDescent="0.3">
      <c r="S7361" s="6"/>
    </row>
    <row r="7362" spans="19:19" x14ac:dyDescent="0.3">
      <c r="S7362" s="6"/>
    </row>
    <row r="7363" spans="19:19" x14ac:dyDescent="0.3">
      <c r="S7363" s="6"/>
    </row>
    <row r="7364" spans="19:19" x14ac:dyDescent="0.3">
      <c r="S7364" s="6"/>
    </row>
    <row r="7365" spans="19:19" x14ac:dyDescent="0.3">
      <c r="S7365" s="6"/>
    </row>
    <row r="7366" spans="19:19" x14ac:dyDescent="0.3">
      <c r="S7366" s="6"/>
    </row>
    <row r="7367" spans="19:19" x14ac:dyDescent="0.3">
      <c r="S7367" s="6"/>
    </row>
    <row r="7368" spans="19:19" x14ac:dyDescent="0.3">
      <c r="S7368" s="6"/>
    </row>
    <row r="7369" spans="19:19" x14ac:dyDescent="0.3">
      <c r="S7369" s="6"/>
    </row>
    <row r="7370" spans="19:19" x14ac:dyDescent="0.3">
      <c r="S7370" s="6"/>
    </row>
    <row r="7371" spans="19:19" x14ac:dyDescent="0.3">
      <c r="S7371" s="6"/>
    </row>
    <row r="7372" spans="19:19" x14ac:dyDescent="0.3">
      <c r="S7372" s="6"/>
    </row>
    <row r="7373" spans="19:19" x14ac:dyDescent="0.3">
      <c r="S7373" s="6"/>
    </row>
    <row r="7374" spans="19:19" x14ac:dyDescent="0.3">
      <c r="S7374" s="6"/>
    </row>
    <row r="7375" spans="19:19" x14ac:dyDescent="0.3">
      <c r="S7375" s="6"/>
    </row>
    <row r="7376" spans="19:19" x14ac:dyDescent="0.3">
      <c r="S7376" s="6"/>
    </row>
    <row r="7377" spans="19:19" x14ac:dyDescent="0.3">
      <c r="S7377" s="6"/>
    </row>
    <row r="7378" spans="19:19" x14ac:dyDescent="0.3">
      <c r="S7378" s="6"/>
    </row>
    <row r="7379" spans="19:19" x14ac:dyDescent="0.3">
      <c r="S7379" s="6"/>
    </row>
    <row r="7380" spans="19:19" x14ac:dyDescent="0.3">
      <c r="S7380" s="6"/>
    </row>
    <row r="7381" spans="19:19" x14ac:dyDescent="0.3">
      <c r="S7381" s="6"/>
    </row>
    <row r="7382" spans="19:19" x14ac:dyDescent="0.3">
      <c r="S7382" s="6"/>
    </row>
    <row r="7383" spans="19:19" x14ac:dyDescent="0.3">
      <c r="S7383" s="6"/>
    </row>
    <row r="7384" spans="19:19" x14ac:dyDescent="0.3">
      <c r="S7384" s="6"/>
    </row>
    <row r="7385" spans="19:19" x14ac:dyDescent="0.3">
      <c r="S7385" s="6"/>
    </row>
    <row r="7386" spans="19:19" x14ac:dyDescent="0.3">
      <c r="S7386" s="6"/>
    </row>
    <row r="7387" spans="19:19" x14ac:dyDescent="0.3">
      <c r="S7387" s="6"/>
    </row>
    <row r="7388" spans="19:19" x14ac:dyDescent="0.3">
      <c r="S7388" s="6"/>
    </row>
    <row r="7389" spans="19:19" x14ac:dyDescent="0.3">
      <c r="S7389" s="6"/>
    </row>
    <row r="7390" spans="19:19" x14ac:dyDescent="0.3">
      <c r="S7390" s="6"/>
    </row>
    <row r="7391" spans="19:19" x14ac:dyDescent="0.3">
      <c r="S7391" s="6"/>
    </row>
    <row r="7392" spans="19:19" x14ac:dyDescent="0.3">
      <c r="S7392" s="6"/>
    </row>
    <row r="7393" spans="19:19" x14ac:dyDescent="0.3">
      <c r="S7393" s="6"/>
    </row>
    <row r="7394" spans="19:19" x14ac:dyDescent="0.3">
      <c r="S7394" s="6"/>
    </row>
    <row r="7395" spans="19:19" x14ac:dyDescent="0.3">
      <c r="S7395" s="6"/>
    </row>
    <row r="7396" spans="19:19" x14ac:dyDescent="0.3">
      <c r="S7396" s="6"/>
    </row>
    <row r="7397" spans="19:19" x14ac:dyDescent="0.3">
      <c r="S7397" s="6"/>
    </row>
    <row r="7398" spans="19:19" x14ac:dyDescent="0.3">
      <c r="S7398" s="6"/>
    </row>
    <row r="7399" spans="19:19" x14ac:dyDescent="0.3">
      <c r="S7399" s="6"/>
    </row>
    <row r="7400" spans="19:19" x14ac:dyDescent="0.3">
      <c r="S7400" s="6"/>
    </row>
    <row r="7401" spans="19:19" x14ac:dyDescent="0.3">
      <c r="S7401" s="6"/>
    </row>
    <row r="7402" spans="19:19" x14ac:dyDescent="0.3">
      <c r="S7402" s="6"/>
    </row>
    <row r="7403" spans="19:19" x14ac:dyDescent="0.3">
      <c r="S7403" s="6"/>
    </row>
    <row r="7404" spans="19:19" x14ac:dyDescent="0.3">
      <c r="S7404" s="6"/>
    </row>
    <row r="7405" spans="19:19" x14ac:dyDescent="0.3">
      <c r="S7405" s="6"/>
    </row>
    <row r="7406" spans="19:19" x14ac:dyDescent="0.3">
      <c r="S7406" s="6"/>
    </row>
    <row r="7407" spans="19:19" x14ac:dyDescent="0.3">
      <c r="S7407" s="6"/>
    </row>
    <row r="7408" spans="19:19" x14ac:dyDescent="0.3">
      <c r="S7408" s="6"/>
    </row>
    <row r="7409" spans="19:19" x14ac:dyDescent="0.3">
      <c r="S7409" s="6"/>
    </row>
    <row r="7410" spans="19:19" x14ac:dyDescent="0.3">
      <c r="S7410" s="6"/>
    </row>
    <row r="7411" spans="19:19" x14ac:dyDescent="0.3">
      <c r="S7411" s="6"/>
    </row>
    <row r="7412" spans="19:19" x14ac:dyDescent="0.3">
      <c r="S7412" s="6"/>
    </row>
    <row r="7413" spans="19:19" x14ac:dyDescent="0.3">
      <c r="S7413" s="6"/>
    </row>
    <row r="7414" spans="19:19" x14ac:dyDescent="0.3">
      <c r="S7414" s="6"/>
    </row>
    <row r="7415" spans="19:19" x14ac:dyDescent="0.3">
      <c r="S7415" s="6"/>
    </row>
    <row r="7416" spans="19:19" x14ac:dyDescent="0.3">
      <c r="S7416" s="6"/>
    </row>
    <row r="7417" spans="19:19" x14ac:dyDescent="0.3">
      <c r="S7417" s="6"/>
    </row>
    <row r="7418" spans="19:19" x14ac:dyDescent="0.3">
      <c r="S7418" s="6"/>
    </row>
    <row r="7419" spans="19:19" x14ac:dyDescent="0.3">
      <c r="S7419" s="6"/>
    </row>
    <row r="7420" spans="19:19" x14ac:dyDescent="0.3">
      <c r="S7420" s="6"/>
    </row>
    <row r="7421" spans="19:19" x14ac:dyDescent="0.3">
      <c r="S7421" s="6"/>
    </row>
    <row r="7422" spans="19:19" x14ac:dyDescent="0.3">
      <c r="S7422" s="6"/>
    </row>
    <row r="7423" spans="19:19" x14ac:dyDescent="0.3">
      <c r="S7423" s="6"/>
    </row>
    <row r="7424" spans="19:19" x14ac:dyDescent="0.3">
      <c r="S7424" s="6"/>
    </row>
    <row r="7425" spans="19:19" x14ac:dyDescent="0.3">
      <c r="S7425" s="6"/>
    </row>
    <row r="7426" spans="19:19" x14ac:dyDescent="0.3">
      <c r="S7426" s="6"/>
    </row>
    <row r="7427" spans="19:19" x14ac:dyDescent="0.3">
      <c r="S7427" s="6"/>
    </row>
    <row r="7428" spans="19:19" x14ac:dyDescent="0.3">
      <c r="S7428" s="6"/>
    </row>
    <row r="7429" spans="19:19" x14ac:dyDescent="0.3">
      <c r="S7429" s="6"/>
    </row>
    <row r="7430" spans="19:19" x14ac:dyDescent="0.3">
      <c r="S7430" s="6"/>
    </row>
    <row r="7431" spans="19:19" x14ac:dyDescent="0.3">
      <c r="S7431" s="6"/>
    </row>
    <row r="7432" spans="19:19" x14ac:dyDescent="0.3">
      <c r="S7432" s="6"/>
    </row>
    <row r="7433" spans="19:19" x14ac:dyDescent="0.3">
      <c r="S7433" s="6"/>
    </row>
    <row r="7434" spans="19:19" x14ac:dyDescent="0.3">
      <c r="S7434" s="6"/>
    </row>
    <row r="7435" spans="19:19" x14ac:dyDescent="0.3">
      <c r="S7435" s="6"/>
    </row>
    <row r="7436" spans="19:19" x14ac:dyDescent="0.3">
      <c r="S7436" s="6"/>
    </row>
    <row r="7437" spans="19:19" x14ac:dyDescent="0.3">
      <c r="S7437" s="6"/>
    </row>
    <row r="7438" spans="19:19" x14ac:dyDescent="0.3">
      <c r="S7438" s="6"/>
    </row>
    <row r="7439" spans="19:19" x14ac:dyDescent="0.3">
      <c r="S7439" s="6"/>
    </row>
    <row r="7440" spans="19:19" x14ac:dyDescent="0.3">
      <c r="S7440" s="6"/>
    </row>
    <row r="7441" spans="19:19" x14ac:dyDescent="0.3">
      <c r="S7441" s="6"/>
    </row>
    <row r="7442" spans="19:19" x14ac:dyDescent="0.3">
      <c r="S7442" s="6"/>
    </row>
    <row r="7443" spans="19:19" x14ac:dyDescent="0.3">
      <c r="S7443" s="6"/>
    </row>
    <row r="7444" spans="19:19" x14ac:dyDescent="0.3">
      <c r="S7444" s="6"/>
    </row>
    <row r="7445" spans="19:19" x14ac:dyDescent="0.3">
      <c r="S7445" s="6"/>
    </row>
    <row r="7446" spans="19:19" x14ac:dyDescent="0.3">
      <c r="S7446" s="6"/>
    </row>
    <row r="7447" spans="19:19" x14ac:dyDescent="0.3">
      <c r="S7447" s="6"/>
    </row>
    <row r="7448" spans="19:19" x14ac:dyDescent="0.3">
      <c r="S7448" s="6"/>
    </row>
    <row r="7449" spans="19:19" x14ac:dyDescent="0.3">
      <c r="S7449" s="6"/>
    </row>
    <row r="7450" spans="19:19" x14ac:dyDescent="0.3">
      <c r="S7450" s="6"/>
    </row>
    <row r="7451" spans="19:19" x14ac:dyDescent="0.3">
      <c r="S7451" s="6"/>
    </row>
    <row r="7452" spans="19:19" x14ac:dyDescent="0.3">
      <c r="S7452" s="6"/>
    </row>
    <row r="7453" spans="19:19" x14ac:dyDescent="0.3">
      <c r="S7453" s="6"/>
    </row>
    <row r="7454" spans="19:19" x14ac:dyDescent="0.3">
      <c r="S7454" s="6"/>
    </row>
    <row r="7455" spans="19:19" x14ac:dyDescent="0.3">
      <c r="S7455" s="6"/>
    </row>
    <row r="7456" spans="19:19" x14ac:dyDescent="0.3">
      <c r="S7456" s="6"/>
    </row>
    <row r="7457" spans="19:19" x14ac:dyDescent="0.3">
      <c r="S7457" s="6"/>
    </row>
    <row r="7458" spans="19:19" x14ac:dyDescent="0.3">
      <c r="S7458" s="6"/>
    </row>
    <row r="7459" spans="19:19" x14ac:dyDescent="0.3">
      <c r="S7459" s="6"/>
    </row>
    <row r="7460" spans="19:19" x14ac:dyDescent="0.3">
      <c r="S7460" s="6"/>
    </row>
    <row r="7461" spans="19:19" x14ac:dyDescent="0.3">
      <c r="S7461" s="6"/>
    </row>
    <row r="7462" spans="19:19" x14ac:dyDescent="0.3">
      <c r="S7462" s="6"/>
    </row>
    <row r="7463" spans="19:19" x14ac:dyDescent="0.3">
      <c r="S7463" s="6"/>
    </row>
    <row r="7464" spans="19:19" x14ac:dyDescent="0.3">
      <c r="S7464" s="6"/>
    </row>
    <row r="7465" spans="19:19" x14ac:dyDescent="0.3">
      <c r="S7465" s="6"/>
    </row>
    <row r="7466" spans="19:19" x14ac:dyDescent="0.3">
      <c r="S7466" s="6"/>
    </row>
    <row r="7467" spans="19:19" x14ac:dyDescent="0.3">
      <c r="S7467" s="6"/>
    </row>
    <row r="7468" spans="19:19" x14ac:dyDescent="0.3">
      <c r="S7468" s="6"/>
    </row>
    <row r="7469" spans="19:19" x14ac:dyDescent="0.3">
      <c r="S7469" s="6"/>
    </row>
    <row r="7470" spans="19:19" x14ac:dyDescent="0.3">
      <c r="S7470" s="6"/>
    </row>
    <row r="7471" spans="19:19" x14ac:dyDescent="0.3">
      <c r="S7471" s="6"/>
    </row>
    <row r="7472" spans="19:19" x14ac:dyDescent="0.3">
      <c r="S7472" s="6"/>
    </row>
    <row r="7473" spans="19:19" x14ac:dyDescent="0.3">
      <c r="S7473" s="6"/>
    </row>
    <row r="7474" spans="19:19" x14ac:dyDescent="0.3">
      <c r="S7474" s="6"/>
    </row>
    <row r="7475" spans="19:19" x14ac:dyDescent="0.3">
      <c r="S7475" s="6"/>
    </row>
    <row r="7476" spans="19:19" x14ac:dyDescent="0.3">
      <c r="S7476" s="6"/>
    </row>
    <row r="7477" spans="19:19" x14ac:dyDescent="0.3">
      <c r="S7477" s="6"/>
    </row>
    <row r="7478" spans="19:19" x14ac:dyDescent="0.3">
      <c r="S7478" s="6"/>
    </row>
    <row r="7479" spans="19:19" x14ac:dyDescent="0.3">
      <c r="S7479" s="6"/>
    </row>
    <row r="7480" spans="19:19" x14ac:dyDescent="0.3">
      <c r="S7480" s="6"/>
    </row>
    <row r="7481" spans="19:19" x14ac:dyDescent="0.3">
      <c r="S7481" s="6"/>
    </row>
    <row r="7482" spans="19:19" x14ac:dyDescent="0.3">
      <c r="S7482" s="6"/>
    </row>
    <row r="7483" spans="19:19" x14ac:dyDescent="0.3">
      <c r="S7483" s="6"/>
    </row>
    <row r="7484" spans="19:19" x14ac:dyDescent="0.3">
      <c r="S7484" s="6"/>
    </row>
    <row r="7485" spans="19:19" x14ac:dyDescent="0.3">
      <c r="S7485" s="6"/>
    </row>
    <row r="7486" spans="19:19" x14ac:dyDescent="0.3">
      <c r="S7486" s="6"/>
    </row>
    <row r="7487" spans="19:19" x14ac:dyDescent="0.3">
      <c r="S7487" s="6"/>
    </row>
    <row r="7488" spans="19:19" x14ac:dyDescent="0.3">
      <c r="S7488" s="6"/>
    </row>
    <row r="7489" spans="19:19" x14ac:dyDescent="0.3">
      <c r="S7489" s="6"/>
    </row>
    <row r="7490" spans="19:19" x14ac:dyDescent="0.3">
      <c r="S7490" s="6"/>
    </row>
    <row r="7491" spans="19:19" x14ac:dyDescent="0.3">
      <c r="S7491" s="6"/>
    </row>
    <row r="7492" spans="19:19" x14ac:dyDescent="0.3">
      <c r="S7492" s="6"/>
    </row>
    <row r="7493" spans="19:19" x14ac:dyDescent="0.3">
      <c r="S7493" s="6"/>
    </row>
    <row r="7494" spans="19:19" x14ac:dyDescent="0.3">
      <c r="S7494" s="6"/>
    </row>
    <row r="7495" spans="19:19" x14ac:dyDescent="0.3">
      <c r="S7495" s="6"/>
    </row>
    <row r="7496" spans="19:19" x14ac:dyDescent="0.3">
      <c r="S7496" s="6"/>
    </row>
    <row r="7497" spans="19:19" x14ac:dyDescent="0.3">
      <c r="S7497" s="6"/>
    </row>
    <row r="7498" spans="19:19" x14ac:dyDescent="0.3">
      <c r="S7498" s="6"/>
    </row>
    <row r="7499" spans="19:19" x14ac:dyDescent="0.3">
      <c r="S7499" s="6"/>
    </row>
    <row r="7500" spans="19:19" x14ac:dyDescent="0.3">
      <c r="S7500" s="6"/>
    </row>
    <row r="7501" spans="19:19" x14ac:dyDescent="0.3">
      <c r="S7501" s="6"/>
    </row>
    <row r="7502" spans="19:19" x14ac:dyDescent="0.3">
      <c r="S7502" s="6"/>
    </row>
    <row r="7503" spans="19:19" x14ac:dyDescent="0.3">
      <c r="S7503" s="6"/>
    </row>
    <row r="7504" spans="19:19" x14ac:dyDescent="0.3">
      <c r="S7504" s="6"/>
    </row>
    <row r="7505" spans="19:19" x14ac:dyDescent="0.3">
      <c r="S7505" s="6"/>
    </row>
    <row r="7506" spans="19:19" x14ac:dyDescent="0.3">
      <c r="S7506" s="6"/>
    </row>
    <row r="7507" spans="19:19" x14ac:dyDescent="0.3">
      <c r="S7507" s="6"/>
    </row>
    <row r="7508" spans="19:19" x14ac:dyDescent="0.3">
      <c r="S7508" s="6"/>
    </row>
    <row r="7509" spans="19:19" x14ac:dyDescent="0.3">
      <c r="S7509" s="6"/>
    </row>
    <row r="7510" spans="19:19" x14ac:dyDescent="0.3">
      <c r="S7510" s="6"/>
    </row>
    <row r="7511" spans="19:19" x14ac:dyDescent="0.3">
      <c r="S7511" s="6"/>
    </row>
    <row r="7512" spans="19:19" x14ac:dyDescent="0.3">
      <c r="S7512" s="6"/>
    </row>
    <row r="7513" spans="19:19" x14ac:dyDescent="0.3">
      <c r="S7513" s="6"/>
    </row>
    <row r="7514" spans="19:19" x14ac:dyDescent="0.3">
      <c r="S7514" s="6"/>
    </row>
    <row r="7515" spans="19:19" x14ac:dyDescent="0.3">
      <c r="S7515" s="6"/>
    </row>
    <row r="7516" spans="19:19" x14ac:dyDescent="0.3">
      <c r="S7516" s="6"/>
    </row>
    <row r="7517" spans="19:19" x14ac:dyDescent="0.3">
      <c r="S7517" s="6"/>
    </row>
    <row r="7518" spans="19:19" x14ac:dyDescent="0.3">
      <c r="S7518" s="6"/>
    </row>
    <row r="7519" spans="19:19" x14ac:dyDescent="0.3">
      <c r="S7519" s="6"/>
    </row>
    <row r="7520" spans="19:19" x14ac:dyDescent="0.3">
      <c r="S7520" s="6"/>
    </row>
    <row r="7521" spans="19:19" x14ac:dyDescent="0.3">
      <c r="S7521" s="6"/>
    </row>
    <row r="7522" spans="19:19" x14ac:dyDescent="0.3">
      <c r="S7522" s="6"/>
    </row>
    <row r="7523" spans="19:19" x14ac:dyDescent="0.3">
      <c r="S7523" s="6"/>
    </row>
    <row r="7524" spans="19:19" x14ac:dyDescent="0.3">
      <c r="S7524" s="6"/>
    </row>
    <row r="7525" spans="19:19" x14ac:dyDescent="0.3">
      <c r="S7525" s="6"/>
    </row>
    <row r="7526" spans="19:19" x14ac:dyDescent="0.3">
      <c r="S7526" s="6"/>
    </row>
    <row r="7527" spans="19:19" x14ac:dyDescent="0.3">
      <c r="S7527" s="6"/>
    </row>
    <row r="7528" spans="19:19" x14ac:dyDescent="0.3">
      <c r="S7528" s="6"/>
    </row>
    <row r="7529" spans="19:19" x14ac:dyDescent="0.3">
      <c r="S7529" s="6"/>
    </row>
    <row r="7530" spans="19:19" x14ac:dyDescent="0.3">
      <c r="S7530" s="6"/>
    </row>
    <row r="7531" spans="19:19" x14ac:dyDescent="0.3">
      <c r="S7531" s="6"/>
    </row>
    <row r="7532" spans="19:19" x14ac:dyDescent="0.3">
      <c r="S7532" s="6"/>
    </row>
    <row r="7533" spans="19:19" x14ac:dyDescent="0.3">
      <c r="S7533" s="6"/>
    </row>
    <row r="7534" spans="19:19" x14ac:dyDescent="0.3">
      <c r="S7534" s="6"/>
    </row>
    <row r="7535" spans="19:19" x14ac:dyDescent="0.3">
      <c r="S7535" s="6"/>
    </row>
    <row r="7536" spans="19:19" x14ac:dyDescent="0.3">
      <c r="S7536" s="6"/>
    </row>
    <row r="7537" spans="19:19" x14ac:dyDescent="0.3">
      <c r="S7537" s="6"/>
    </row>
    <row r="7538" spans="19:19" x14ac:dyDescent="0.3">
      <c r="S7538" s="6"/>
    </row>
    <row r="7539" spans="19:19" x14ac:dyDescent="0.3">
      <c r="S7539" s="6"/>
    </row>
    <row r="7540" spans="19:19" x14ac:dyDescent="0.3">
      <c r="S7540" s="6"/>
    </row>
    <row r="7541" spans="19:19" x14ac:dyDescent="0.3">
      <c r="S7541" s="6"/>
    </row>
    <row r="7542" spans="19:19" x14ac:dyDescent="0.3">
      <c r="S7542" s="6"/>
    </row>
    <row r="7543" spans="19:19" x14ac:dyDescent="0.3">
      <c r="S7543" s="6"/>
    </row>
    <row r="7544" spans="19:19" x14ac:dyDescent="0.3">
      <c r="S7544" s="6"/>
    </row>
    <row r="7545" spans="19:19" x14ac:dyDescent="0.3">
      <c r="S7545" s="6"/>
    </row>
    <row r="7546" spans="19:19" x14ac:dyDescent="0.3">
      <c r="S7546" s="6"/>
    </row>
    <row r="7547" spans="19:19" x14ac:dyDescent="0.3">
      <c r="S7547" s="6"/>
    </row>
    <row r="7548" spans="19:19" x14ac:dyDescent="0.3">
      <c r="S7548" s="6"/>
    </row>
    <row r="7549" spans="19:19" x14ac:dyDescent="0.3">
      <c r="S7549" s="6"/>
    </row>
    <row r="7550" spans="19:19" x14ac:dyDescent="0.3">
      <c r="S7550" s="6"/>
    </row>
    <row r="7551" spans="19:19" x14ac:dyDescent="0.3">
      <c r="S7551" s="6"/>
    </row>
    <row r="7552" spans="19:19" x14ac:dyDescent="0.3">
      <c r="S7552" s="6"/>
    </row>
    <row r="7553" spans="19:19" x14ac:dyDescent="0.3">
      <c r="S7553" s="6"/>
    </row>
    <row r="7554" spans="19:19" x14ac:dyDescent="0.3">
      <c r="S7554" s="6"/>
    </row>
    <row r="7555" spans="19:19" x14ac:dyDescent="0.3">
      <c r="S7555" s="6"/>
    </row>
    <row r="7556" spans="19:19" x14ac:dyDescent="0.3">
      <c r="S7556" s="6"/>
    </row>
    <row r="7557" spans="19:19" x14ac:dyDescent="0.3">
      <c r="S7557" s="6"/>
    </row>
    <row r="7558" spans="19:19" x14ac:dyDescent="0.3">
      <c r="S7558" s="6"/>
    </row>
    <row r="7559" spans="19:19" x14ac:dyDescent="0.3">
      <c r="S7559" s="6"/>
    </row>
    <row r="7560" spans="19:19" x14ac:dyDescent="0.3">
      <c r="S7560" s="6"/>
    </row>
    <row r="7561" spans="19:19" x14ac:dyDescent="0.3">
      <c r="S7561" s="6"/>
    </row>
    <row r="7562" spans="19:19" x14ac:dyDescent="0.3">
      <c r="S7562" s="6"/>
    </row>
    <row r="7563" spans="19:19" x14ac:dyDescent="0.3">
      <c r="S7563" s="6"/>
    </row>
    <row r="7564" spans="19:19" x14ac:dyDescent="0.3">
      <c r="S7564" s="6"/>
    </row>
    <row r="7565" spans="19:19" x14ac:dyDescent="0.3">
      <c r="S7565" s="6"/>
    </row>
    <row r="7566" spans="19:19" x14ac:dyDescent="0.3">
      <c r="S7566" s="6"/>
    </row>
    <row r="7567" spans="19:19" x14ac:dyDescent="0.3">
      <c r="S7567" s="6"/>
    </row>
    <row r="7568" spans="19:19" x14ac:dyDescent="0.3">
      <c r="S7568" s="6"/>
    </row>
    <row r="7569" spans="19:19" x14ac:dyDescent="0.3">
      <c r="S7569" s="6"/>
    </row>
    <row r="7570" spans="19:19" x14ac:dyDescent="0.3">
      <c r="S7570" s="6"/>
    </row>
    <row r="7571" spans="19:19" x14ac:dyDescent="0.3">
      <c r="S7571" s="6"/>
    </row>
    <row r="7572" spans="19:19" x14ac:dyDescent="0.3">
      <c r="S7572" s="6"/>
    </row>
    <row r="7573" spans="19:19" x14ac:dyDescent="0.3">
      <c r="S7573" s="6"/>
    </row>
    <row r="7574" spans="19:19" x14ac:dyDescent="0.3">
      <c r="S7574" s="6"/>
    </row>
    <row r="7575" spans="19:19" x14ac:dyDescent="0.3">
      <c r="S7575" s="6"/>
    </row>
    <row r="7576" spans="19:19" x14ac:dyDescent="0.3">
      <c r="S7576" s="6"/>
    </row>
    <row r="7577" spans="19:19" x14ac:dyDescent="0.3">
      <c r="S7577" s="6"/>
    </row>
    <row r="7578" spans="19:19" x14ac:dyDescent="0.3">
      <c r="S7578" s="6"/>
    </row>
    <row r="7579" spans="19:19" x14ac:dyDescent="0.3">
      <c r="S7579" s="6"/>
    </row>
    <row r="7580" spans="19:19" x14ac:dyDescent="0.3">
      <c r="S7580" s="6"/>
    </row>
    <row r="7581" spans="19:19" x14ac:dyDescent="0.3">
      <c r="S7581" s="6"/>
    </row>
    <row r="7582" spans="19:19" x14ac:dyDescent="0.3">
      <c r="S7582" s="6"/>
    </row>
    <row r="7583" spans="19:19" x14ac:dyDescent="0.3">
      <c r="S7583" s="6"/>
    </row>
    <row r="7584" spans="19:19" x14ac:dyDescent="0.3">
      <c r="S7584" s="6"/>
    </row>
    <row r="7585" spans="19:19" x14ac:dyDescent="0.3">
      <c r="S7585" s="6"/>
    </row>
    <row r="7586" spans="19:19" x14ac:dyDescent="0.3">
      <c r="S7586" s="6"/>
    </row>
    <row r="7587" spans="19:19" x14ac:dyDescent="0.3">
      <c r="S7587" s="6"/>
    </row>
    <row r="7588" spans="19:19" x14ac:dyDescent="0.3">
      <c r="S7588" s="6"/>
    </row>
    <row r="7589" spans="19:19" x14ac:dyDescent="0.3">
      <c r="S7589" s="6"/>
    </row>
    <row r="7590" spans="19:19" x14ac:dyDescent="0.3">
      <c r="S7590" s="6"/>
    </row>
    <row r="7591" spans="19:19" x14ac:dyDescent="0.3">
      <c r="S7591" s="6"/>
    </row>
    <row r="7592" spans="19:19" x14ac:dyDescent="0.3">
      <c r="S7592" s="6"/>
    </row>
    <row r="7593" spans="19:19" x14ac:dyDescent="0.3">
      <c r="S7593" s="6"/>
    </row>
    <row r="7594" spans="19:19" x14ac:dyDescent="0.3">
      <c r="S7594" s="6"/>
    </row>
    <row r="7595" spans="19:19" x14ac:dyDescent="0.3">
      <c r="S7595" s="6"/>
    </row>
    <row r="7596" spans="19:19" x14ac:dyDescent="0.3">
      <c r="S7596" s="6"/>
    </row>
    <row r="7597" spans="19:19" x14ac:dyDescent="0.3">
      <c r="S7597" s="6"/>
    </row>
    <row r="7598" spans="19:19" x14ac:dyDescent="0.3">
      <c r="S7598" s="6"/>
    </row>
    <row r="7599" spans="19:19" x14ac:dyDescent="0.3">
      <c r="S7599" s="6"/>
    </row>
    <row r="7600" spans="19:19" x14ac:dyDescent="0.3">
      <c r="S7600" s="6"/>
    </row>
    <row r="7601" spans="19:19" x14ac:dyDescent="0.3">
      <c r="S7601" s="6"/>
    </row>
    <row r="7602" spans="19:19" x14ac:dyDescent="0.3">
      <c r="S7602" s="6"/>
    </row>
    <row r="7603" spans="19:19" x14ac:dyDescent="0.3">
      <c r="S7603" s="6"/>
    </row>
    <row r="7604" spans="19:19" x14ac:dyDescent="0.3">
      <c r="S7604" s="6"/>
    </row>
    <row r="7605" spans="19:19" x14ac:dyDescent="0.3">
      <c r="S7605" s="6"/>
    </row>
    <row r="7606" spans="19:19" x14ac:dyDescent="0.3">
      <c r="S7606" s="6"/>
    </row>
    <row r="7607" spans="19:19" x14ac:dyDescent="0.3">
      <c r="S7607" s="6"/>
    </row>
    <row r="7608" spans="19:19" x14ac:dyDescent="0.3">
      <c r="S7608" s="6"/>
    </row>
    <row r="7609" spans="19:19" x14ac:dyDescent="0.3">
      <c r="S7609" s="6"/>
    </row>
    <row r="7610" spans="19:19" x14ac:dyDescent="0.3">
      <c r="S7610" s="6"/>
    </row>
    <row r="7611" spans="19:19" x14ac:dyDescent="0.3">
      <c r="S7611" s="6"/>
    </row>
    <row r="7612" spans="19:19" x14ac:dyDescent="0.3">
      <c r="S7612" s="6"/>
    </row>
    <row r="7613" spans="19:19" x14ac:dyDescent="0.3">
      <c r="S7613" s="6"/>
    </row>
    <row r="7614" spans="19:19" x14ac:dyDescent="0.3">
      <c r="S7614" s="6"/>
    </row>
    <row r="7615" spans="19:19" x14ac:dyDescent="0.3">
      <c r="S7615" s="6"/>
    </row>
    <row r="7616" spans="19:19" x14ac:dyDescent="0.3">
      <c r="S7616" s="6"/>
    </row>
    <row r="7617" spans="19:19" x14ac:dyDescent="0.3">
      <c r="S7617" s="6"/>
    </row>
    <row r="7618" spans="19:19" x14ac:dyDescent="0.3">
      <c r="S7618" s="6"/>
    </row>
    <row r="7619" spans="19:19" x14ac:dyDescent="0.3">
      <c r="S7619" s="6"/>
    </row>
    <row r="7620" spans="19:19" x14ac:dyDescent="0.3">
      <c r="S7620" s="6"/>
    </row>
    <row r="7621" spans="19:19" x14ac:dyDescent="0.3">
      <c r="S7621" s="6"/>
    </row>
    <row r="7622" spans="19:19" x14ac:dyDescent="0.3">
      <c r="S7622" s="6"/>
    </row>
    <row r="7623" spans="19:19" x14ac:dyDescent="0.3">
      <c r="S7623" s="6"/>
    </row>
    <row r="7624" spans="19:19" x14ac:dyDescent="0.3">
      <c r="S7624" s="6"/>
    </row>
    <row r="7625" spans="19:19" x14ac:dyDescent="0.3">
      <c r="S7625" s="6"/>
    </row>
    <row r="7626" spans="19:19" x14ac:dyDescent="0.3">
      <c r="S7626" s="6"/>
    </row>
    <row r="7627" spans="19:19" x14ac:dyDescent="0.3">
      <c r="S7627" s="6"/>
    </row>
    <row r="7628" spans="19:19" x14ac:dyDescent="0.3">
      <c r="S7628" s="6"/>
    </row>
    <row r="7629" spans="19:19" x14ac:dyDescent="0.3">
      <c r="S7629" s="6"/>
    </row>
    <row r="7630" spans="19:19" x14ac:dyDescent="0.3">
      <c r="S7630" s="6"/>
    </row>
    <row r="7631" spans="19:19" x14ac:dyDescent="0.3">
      <c r="S7631" s="6"/>
    </row>
    <row r="7632" spans="19:19" x14ac:dyDescent="0.3">
      <c r="S7632" s="6"/>
    </row>
    <row r="7633" spans="19:19" x14ac:dyDescent="0.3">
      <c r="S7633" s="6"/>
    </row>
    <row r="7634" spans="19:19" x14ac:dyDescent="0.3">
      <c r="S7634" s="6"/>
    </row>
    <row r="7635" spans="19:19" x14ac:dyDescent="0.3">
      <c r="S7635" s="6"/>
    </row>
    <row r="7636" spans="19:19" x14ac:dyDescent="0.3">
      <c r="S7636" s="6"/>
    </row>
    <row r="7637" spans="19:19" x14ac:dyDescent="0.3">
      <c r="S7637" s="6"/>
    </row>
    <row r="7638" spans="19:19" x14ac:dyDescent="0.3">
      <c r="S7638" s="6"/>
    </row>
    <row r="7639" spans="19:19" x14ac:dyDescent="0.3">
      <c r="S7639" s="6"/>
    </row>
    <row r="7640" spans="19:19" x14ac:dyDescent="0.3">
      <c r="S7640" s="6"/>
    </row>
    <row r="7641" spans="19:19" x14ac:dyDescent="0.3">
      <c r="S7641" s="6"/>
    </row>
    <row r="7642" spans="19:19" x14ac:dyDescent="0.3">
      <c r="S7642" s="6"/>
    </row>
    <row r="7643" spans="19:19" x14ac:dyDescent="0.3">
      <c r="S7643" s="6"/>
    </row>
    <row r="7644" spans="19:19" x14ac:dyDescent="0.3">
      <c r="S7644" s="6"/>
    </row>
    <row r="7645" spans="19:19" x14ac:dyDescent="0.3">
      <c r="S7645" s="6"/>
    </row>
    <row r="7646" spans="19:19" x14ac:dyDescent="0.3">
      <c r="S7646" s="6"/>
    </row>
    <row r="7647" spans="19:19" x14ac:dyDescent="0.3">
      <c r="S7647" s="6"/>
    </row>
    <row r="7648" spans="19:19" x14ac:dyDescent="0.3">
      <c r="S7648" s="6"/>
    </row>
    <row r="7649" spans="19:19" x14ac:dyDescent="0.3">
      <c r="S7649" s="6"/>
    </row>
    <row r="7650" spans="19:19" x14ac:dyDescent="0.3">
      <c r="S7650" s="6"/>
    </row>
    <row r="7651" spans="19:19" x14ac:dyDescent="0.3">
      <c r="S7651" s="6"/>
    </row>
    <row r="7652" spans="19:19" x14ac:dyDescent="0.3">
      <c r="S7652" s="6"/>
    </row>
    <row r="7653" spans="19:19" x14ac:dyDescent="0.3">
      <c r="S7653" s="6"/>
    </row>
    <row r="7654" spans="19:19" x14ac:dyDescent="0.3">
      <c r="S7654" s="6"/>
    </row>
    <row r="7655" spans="19:19" x14ac:dyDescent="0.3">
      <c r="S7655" s="6"/>
    </row>
    <row r="7656" spans="19:19" x14ac:dyDescent="0.3">
      <c r="S7656" s="6"/>
    </row>
    <row r="7657" spans="19:19" x14ac:dyDescent="0.3">
      <c r="S7657" s="6"/>
    </row>
    <row r="7658" spans="19:19" x14ac:dyDescent="0.3">
      <c r="S7658" s="6"/>
    </row>
    <row r="7659" spans="19:19" x14ac:dyDescent="0.3">
      <c r="S7659" s="6"/>
    </row>
    <row r="7660" spans="19:19" x14ac:dyDescent="0.3">
      <c r="S7660" s="6"/>
    </row>
    <row r="7661" spans="19:19" x14ac:dyDescent="0.3">
      <c r="S7661" s="6"/>
    </row>
    <row r="7662" spans="19:19" x14ac:dyDescent="0.3">
      <c r="S7662" s="6"/>
    </row>
    <row r="7663" spans="19:19" x14ac:dyDescent="0.3">
      <c r="S7663" s="6"/>
    </row>
    <row r="7664" spans="19:19" x14ac:dyDescent="0.3">
      <c r="S7664" s="6"/>
    </row>
    <row r="7665" spans="19:19" x14ac:dyDescent="0.3">
      <c r="S7665" s="6"/>
    </row>
    <row r="7666" spans="19:19" x14ac:dyDescent="0.3">
      <c r="S7666" s="6"/>
    </row>
    <row r="7667" spans="19:19" x14ac:dyDescent="0.3">
      <c r="S7667" s="6"/>
    </row>
    <row r="7668" spans="19:19" x14ac:dyDescent="0.3">
      <c r="S7668" s="6"/>
    </row>
    <row r="7669" spans="19:19" x14ac:dyDescent="0.3">
      <c r="S7669" s="6"/>
    </row>
    <row r="7670" spans="19:19" x14ac:dyDescent="0.3">
      <c r="S7670" s="6"/>
    </row>
    <row r="7671" spans="19:19" x14ac:dyDescent="0.3">
      <c r="S7671" s="6"/>
    </row>
    <row r="7672" spans="19:19" x14ac:dyDescent="0.3">
      <c r="S7672" s="6"/>
    </row>
    <row r="7673" spans="19:19" x14ac:dyDescent="0.3">
      <c r="S7673" s="6"/>
    </row>
    <row r="7674" spans="19:19" x14ac:dyDescent="0.3">
      <c r="S7674" s="6"/>
    </row>
    <row r="7675" spans="19:19" x14ac:dyDescent="0.3">
      <c r="S7675" s="6"/>
    </row>
    <row r="7676" spans="19:19" x14ac:dyDescent="0.3">
      <c r="S7676" s="6"/>
    </row>
    <row r="7677" spans="19:19" x14ac:dyDescent="0.3">
      <c r="S7677" s="6"/>
    </row>
    <row r="7678" spans="19:19" x14ac:dyDescent="0.3">
      <c r="S7678" s="6"/>
    </row>
    <row r="7679" spans="19:19" x14ac:dyDescent="0.3">
      <c r="S7679" s="6"/>
    </row>
    <row r="7680" spans="19:19" x14ac:dyDescent="0.3">
      <c r="S7680" s="6"/>
    </row>
    <row r="7681" spans="19:19" x14ac:dyDescent="0.3">
      <c r="S7681" s="6"/>
    </row>
    <row r="7682" spans="19:19" x14ac:dyDescent="0.3">
      <c r="S7682" s="6"/>
    </row>
    <row r="7683" spans="19:19" x14ac:dyDescent="0.3">
      <c r="S7683" s="6"/>
    </row>
    <row r="7684" spans="19:19" x14ac:dyDescent="0.3">
      <c r="S7684" s="6"/>
    </row>
    <row r="7685" spans="19:19" x14ac:dyDescent="0.3">
      <c r="S7685" s="6"/>
    </row>
    <row r="7686" spans="19:19" x14ac:dyDescent="0.3">
      <c r="S7686" s="6"/>
    </row>
    <row r="7687" spans="19:19" x14ac:dyDescent="0.3">
      <c r="S7687" s="6"/>
    </row>
    <row r="7688" spans="19:19" x14ac:dyDescent="0.3">
      <c r="S7688" s="6"/>
    </row>
    <row r="7689" spans="19:19" x14ac:dyDescent="0.3">
      <c r="S7689" s="6"/>
    </row>
    <row r="7690" spans="19:19" x14ac:dyDescent="0.3">
      <c r="S7690" s="6"/>
    </row>
    <row r="7691" spans="19:19" x14ac:dyDescent="0.3">
      <c r="S7691" s="6"/>
    </row>
    <row r="7692" spans="19:19" x14ac:dyDescent="0.3">
      <c r="S7692" s="6"/>
    </row>
    <row r="7693" spans="19:19" x14ac:dyDescent="0.3">
      <c r="S7693" s="6"/>
    </row>
    <row r="7694" spans="19:19" x14ac:dyDescent="0.3">
      <c r="S7694" s="6"/>
    </row>
    <row r="7695" spans="19:19" x14ac:dyDescent="0.3">
      <c r="S7695" s="6"/>
    </row>
    <row r="7696" spans="19:19" x14ac:dyDescent="0.3">
      <c r="S7696" s="6"/>
    </row>
    <row r="7697" spans="19:19" x14ac:dyDescent="0.3">
      <c r="S7697" s="6"/>
    </row>
    <row r="7698" spans="19:19" x14ac:dyDescent="0.3">
      <c r="S7698" s="6"/>
    </row>
    <row r="7699" spans="19:19" x14ac:dyDescent="0.3">
      <c r="S7699" s="6"/>
    </row>
    <row r="7700" spans="19:19" x14ac:dyDescent="0.3">
      <c r="S7700" s="6"/>
    </row>
    <row r="7701" spans="19:19" x14ac:dyDescent="0.3">
      <c r="S7701" s="6"/>
    </row>
    <row r="7702" spans="19:19" x14ac:dyDescent="0.3">
      <c r="S7702" s="6"/>
    </row>
    <row r="7703" spans="19:19" x14ac:dyDescent="0.3">
      <c r="S7703" s="6"/>
    </row>
    <row r="7704" spans="19:19" x14ac:dyDescent="0.3">
      <c r="S7704" s="6"/>
    </row>
    <row r="7705" spans="19:19" x14ac:dyDescent="0.3">
      <c r="S7705" s="6"/>
    </row>
    <row r="7706" spans="19:19" x14ac:dyDescent="0.3">
      <c r="S7706" s="6"/>
    </row>
    <row r="7707" spans="19:19" x14ac:dyDescent="0.3">
      <c r="S7707" s="6"/>
    </row>
    <row r="7708" spans="19:19" x14ac:dyDescent="0.3">
      <c r="S7708" s="6"/>
    </row>
    <row r="7709" spans="19:19" x14ac:dyDescent="0.3">
      <c r="S7709" s="6"/>
    </row>
    <row r="7710" spans="19:19" x14ac:dyDescent="0.3">
      <c r="S7710" s="6"/>
    </row>
    <row r="7711" spans="19:19" x14ac:dyDescent="0.3">
      <c r="S7711" s="6"/>
    </row>
    <row r="7712" spans="19:19" x14ac:dyDescent="0.3">
      <c r="S7712" s="6"/>
    </row>
    <row r="7713" spans="19:19" x14ac:dyDescent="0.3">
      <c r="S7713" s="6"/>
    </row>
    <row r="7714" spans="19:19" x14ac:dyDescent="0.3">
      <c r="S7714" s="6"/>
    </row>
    <row r="7715" spans="19:19" x14ac:dyDescent="0.3">
      <c r="S7715" s="6"/>
    </row>
    <row r="7716" spans="19:19" x14ac:dyDescent="0.3">
      <c r="S7716" s="6"/>
    </row>
    <row r="7717" spans="19:19" x14ac:dyDescent="0.3">
      <c r="S7717" s="6"/>
    </row>
    <row r="7718" spans="19:19" x14ac:dyDescent="0.3">
      <c r="S7718" s="6"/>
    </row>
    <row r="7719" spans="19:19" x14ac:dyDescent="0.3">
      <c r="S7719" s="6"/>
    </row>
    <row r="7720" spans="19:19" x14ac:dyDescent="0.3">
      <c r="S7720" s="6"/>
    </row>
    <row r="7721" spans="19:19" x14ac:dyDescent="0.3">
      <c r="S7721" s="6"/>
    </row>
    <row r="7722" spans="19:19" x14ac:dyDescent="0.3">
      <c r="S7722" s="6"/>
    </row>
    <row r="7723" spans="19:19" x14ac:dyDescent="0.3">
      <c r="S7723" s="6"/>
    </row>
    <row r="7724" spans="19:19" x14ac:dyDescent="0.3">
      <c r="S7724" s="6"/>
    </row>
    <row r="7725" spans="19:19" x14ac:dyDescent="0.3">
      <c r="S7725" s="6"/>
    </row>
    <row r="7726" spans="19:19" x14ac:dyDescent="0.3">
      <c r="S7726" s="6"/>
    </row>
    <row r="7727" spans="19:19" x14ac:dyDescent="0.3">
      <c r="S7727" s="6"/>
    </row>
    <row r="7728" spans="19:19" x14ac:dyDescent="0.3">
      <c r="S7728" s="6"/>
    </row>
    <row r="7729" spans="19:19" x14ac:dyDescent="0.3">
      <c r="S7729" s="6"/>
    </row>
    <row r="7730" spans="19:19" x14ac:dyDescent="0.3">
      <c r="S7730" s="6"/>
    </row>
    <row r="7731" spans="19:19" x14ac:dyDescent="0.3">
      <c r="S7731" s="6"/>
    </row>
    <row r="7732" spans="19:19" x14ac:dyDescent="0.3">
      <c r="S7732" s="6"/>
    </row>
    <row r="7733" spans="19:19" x14ac:dyDescent="0.3">
      <c r="S7733" s="6"/>
    </row>
    <row r="7734" spans="19:19" x14ac:dyDescent="0.3">
      <c r="S7734" s="6"/>
    </row>
    <row r="7735" spans="19:19" x14ac:dyDescent="0.3">
      <c r="S7735" s="6"/>
    </row>
    <row r="7736" spans="19:19" x14ac:dyDescent="0.3">
      <c r="S7736" s="6"/>
    </row>
    <row r="7737" spans="19:19" x14ac:dyDescent="0.3">
      <c r="S7737" s="6"/>
    </row>
    <row r="7738" spans="19:19" x14ac:dyDescent="0.3">
      <c r="S7738" s="6"/>
    </row>
    <row r="7739" spans="19:19" x14ac:dyDescent="0.3">
      <c r="S7739" s="6"/>
    </row>
    <row r="7740" spans="19:19" x14ac:dyDescent="0.3">
      <c r="S7740" s="6"/>
    </row>
    <row r="7741" spans="19:19" x14ac:dyDescent="0.3">
      <c r="S7741" s="6"/>
    </row>
    <row r="7742" spans="19:19" x14ac:dyDescent="0.3">
      <c r="S7742" s="6"/>
    </row>
    <row r="7743" spans="19:19" x14ac:dyDescent="0.3">
      <c r="S7743" s="6"/>
    </row>
    <row r="7744" spans="19:19" x14ac:dyDescent="0.3">
      <c r="S7744" s="6"/>
    </row>
    <row r="7745" spans="19:19" x14ac:dyDescent="0.3">
      <c r="S7745" s="6"/>
    </row>
    <row r="7746" spans="19:19" x14ac:dyDescent="0.3">
      <c r="S7746" s="6"/>
    </row>
    <row r="7747" spans="19:19" x14ac:dyDescent="0.3">
      <c r="S7747" s="6"/>
    </row>
    <row r="7748" spans="19:19" x14ac:dyDescent="0.3">
      <c r="S7748" s="6"/>
    </row>
    <row r="7749" spans="19:19" x14ac:dyDescent="0.3">
      <c r="S7749" s="6"/>
    </row>
    <row r="7750" spans="19:19" x14ac:dyDescent="0.3">
      <c r="S7750" s="6"/>
    </row>
    <row r="7751" spans="19:19" x14ac:dyDescent="0.3">
      <c r="S7751" s="6"/>
    </row>
    <row r="7752" spans="19:19" x14ac:dyDescent="0.3">
      <c r="S7752" s="6"/>
    </row>
    <row r="7753" spans="19:19" x14ac:dyDescent="0.3">
      <c r="S7753" s="6"/>
    </row>
    <row r="7754" spans="19:19" x14ac:dyDescent="0.3">
      <c r="S7754" s="6"/>
    </row>
    <row r="7755" spans="19:19" x14ac:dyDescent="0.3">
      <c r="S7755" s="6"/>
    </row>
    <row r="7756" spans="19:19" x14ac:dyDescent="0.3">
      <c r="S7756" s="6"/>
    </row>
    <row r="7757" spans="19:19" x14ac:dyDescent="0.3">
      <c r="S7757" s="6"/>
    </row>
    <row r="7758" spans="19:19" x14ac:dyDescent="0.3">
      <c r="S7758" s="6"/>
    </row>
    <row r="7759" spans="19:19" x14ac:dyDescent="0.3">
      <c r="S7759" s="6"/>
    </row>
    <row r="7760" spans="19:19" x14ac:dyDescent="0.3">
      <c r="S7760" s="6"/>
    </row>
    <row r="7761" spans="19:19" x14ac:dyDescent="0.3">
      <c r="S7761" s="6"/>
    </row>
    <row r="7762" spans="19:19" x14ac:dyDescent="0.3">
      <c r="S7762" s="6"/>
    </row>
    <row r="7763" spans="19:19" x14ac:dyDescent="0.3">
      <c r="S7763" s="6"/>
    </row>
    <row r="7764" spans="19:19" x14ac:dyDescent="0.3">
      <c r="S7764" s="6"/>
    </row>
    <row r="7765" spans="19:19" x14ac:dyDescent="0.3">
      <c r="S7765" s="6"/>
    </row>
    <row r="7766" spans="19:19" x14ac:dyDescent="0.3">
      <c r="S7766" s="6"/>
    </row>
    <row r="7767" spans="19:19" x14ac:dyDescent="0.3">
      <c r="S7767" s="6"/>
    </row>
    <row r="7768" spans="19:19" x14ac:dyDescent="0.3">
      <c r="S7768" s="6"/>
    </row>
    <row r="7769" spans="19:19" x14ac:dyDescent="0.3">
      <c r="S7769" s="6"/>
    </row>
    <row r="7770" spans="19:19" x14ac:dyDescent="0.3">
      <c r="S7770" s="6"/>
    </row>
    <row r="7771" spans="19:19" x14ac:dyDescent="0.3">
      <c r="S7771" s="6"/>
    </row>
    <row r="7772" spans="19:19" x14ac:dyDescent="0.3">
      <c r="S7772" s="6"/>
    </row>
    <row r="7773" spans="19:19" x14ac:dyDescent="0.3">
      <c r="S7773" s="6"/>
    </row>
    <row r="7774" spans="19:19" x14ac:dyDescent="0.3">
      <c r="S7774" s="6"/>
    </row>
    <row r="7775" spans="19:19" x14ac:dyDescent="0.3">
      <c r="S7775" s="6"/>
    </row>
    <row r="7776" spans="19:19" x14ac:dyDescent="0.3">
      <c r="S7776" s="6"/>
    </row>
    <row r="7777" spans="19:19" x14ac:dyDescent="0.3">
      <c r="S7777" s="6"/>
    </row>
    <row r="7778" spans="19:19" x14ac:dyDescent="0.3">
      <c r="S7778" s="6"/>
    </row>
    <row r="7779" spans="19:19" x14ac:dyDescent="0.3">
      <c r="S7779" s="6"/>
    </row>
    <row r="7780" spans="19:19" x14ac:dyDescent="0.3">
      <c r="S7780" s="6"/>
    </row>
    <row r="7781" spans="19:19" x14ac:dyDescent="0.3">
      <c r="S7781" s="6"/>
    </row>
    <row r="7782" spans="19:19" x14ac:dyDescent="0.3">
      <c r="S7782" s="6"/>
    </row>
    <row r="7783" spans="19:19" x14ac:dyDescent="0.3">
      <c r="S7783" s="6"/>
    </row>
    <row r="7784" spans="19:19" x14ac:dyDescent="0.3">
      <c r="S7784" s="6"/>
    </row>
    <row r="7785" spans="19:19" x14ac:dyDescent="0.3">
      <c r="S7785" s="6"/>
    </row>
    <row r="7786" spans="19:19" x14ac:dyDescent="0.3">
      <c r="S7786" s="6"/>
    </row>
    <row r="7787" spans="19:19" x14ac:dyDescent="0.3">
      <c r="S7787" s="6"/>
    </row>
    <row r="7788" spans="19:19" x14ac:dyDescent="0.3">
      <c r="S7788" s="6"/>
    </row>
    <row r="7789" spans="19:19" x14ac:dyDescent="0.3">
      <c r="S7789" s="6"/>
    </row>
    <row r="7790" spans="19:19" x14ac:dyDescent="0.3">
      <c r="S7790" s="6"/>
    </row>
    <row r="7791" spans="19:19" x14ac:dyDescent="0.3">
      <c r="S7791" s="6"/>
    </row>
    <row r="7792" spans="19:19" x14ac:dyDescent="0.3">
      <c r="S7792" s="6"/>
    </row>
    <row r="7793" spans="19:19" x14ac:dyDescent="0.3">
      <c r="S7793" s="6"/>
    </row>
    <row r="7794" spans="19:19" x14ac:dyDescent="0.3">
      <c r="S7794" s="6"/>
    </row>
    <row r="7795" spans="19:19" x14ac:dyDescent="0.3">
      <c r="S7795" s="6"/>
    </row>
    <row r="7796" spans="19:19" x14ac:dyDescent="0.3">
      <c r="S7796" s="6"/>
    </row>
    <row r="7797" spans="19:19" x14ac:dyDescent="0.3">
      <c r="S7797" s="6"/>
    </row>
    <row r="7798" spans="19:19" x14ac:dyDescent="0.3">
      <c r="S7798" s="6"/>
    </row>
    <row r="7799" spans="19:19" x14ac:dyDescent="0.3">
      <c r="S7799" s="6"/>
    </row>
    <row r="7800" spans="19:19" x14ac:dyDescent="0.3">
      <c r="S7800" s="6"/>
    </row>
    <row r="7801" spans="19:19" x14ac:dyDescent="0.3">
      <c r="S7801" s="6"/>
    </row>
    <row r="7802" spans="19:19" x14ac:dyDescent="0.3">
      <c r="S7802" s="6"/>
    </row>
    <row r="7803" spans="19:19" x14ac:dyDescent="0.3">
      <c r="S7803" s="6"/>
    </row>
    <row r="7804" spans="19:19" x14ac:dyDescent="0.3">
      <c r="S7804" s="6"/>
    </row>
    <row r="7805" spans="19:19" x14ac:dyDescent="0.3">
      <c r="S7805" s="6"/>
    </row>
    <row r="7806" spans="19:19" x14ac:dyDescent="0.3">
      <c r="S7806" s="6"/>
    </row>
    <row r="7807" spans="19:19" x14ac:dyDescent="0.3">
      <c r="S7807" s="6"/>
    </row>
    <row r="7808" spans="19:19" x14ac:dyDescent="0.3">
      <c r="S7808" s="6"/>
    </row>
    <row r="7809" spans="19:19" x14ac:dyDescent="0.3">
      <c r="S7809" s="6"/>
    </row>
    <row r="7810" spans="19:19" x14ac:dyDescent="0.3">
      <c r="S7810" s="6"/>
    </row>
    <row r="7811" spans="19:19" x14ac:dyDescent="0.3">
      <c r="S7811" s="6"/>
    </row>
    <row r="7812" spans="19:19" x14ac:dyDescent="0.3">
      <c r="S7812" s="6"/>
    </row>
    <row r="7813" spans="19:19" x14ac:dyDescent="0.3">
      <c r="S7813" s="6"/>
    </row>
    <row r="7814" spans="19:19" x14ac:dyDescent="0.3">
      <c r="S7814" s="6"/>
    </row>
    <row r="7815" spans="19:19" x14ac:dyDescent="0.3">
      <c r="S7815" s="6"/>
    </row>
    <row r="7816" spans="19:19" x14ac:dyDescent="0.3">
      <c r="S7816" s="6"/>
    </row>
    <row r="7817" spans="19:19" x14ac:dyDescent="0.3">
      <c r="S7817" s="6"/>
    </row>
    <row r="7818" spans="19:19" x14ac:dyDescent="0.3">
      <c r="S7818" s="6"/>
    </row>
    <row r="7819" spans="19:19" x14ac:dyDescent="0.3">
      <c r="S7819" s="6"/>
    </row>
    <row r="7820" spans="19:19" x14ac:dyDescent="0.3">
      <c r="S7820" s="6"/>
    </row>
    <row r="7821" spans="19:19" x14ac:dyDescent="0.3">
      <c r="S7821" s="6"/>
    </row>
    <row r="7822" spans="19:19" x14ac:dyDescent="0.3">
      <c r="S7822" s="6"/>
    </row>
    <row r="7823" spans="19:19" x14ac:dyDescent="0.3">
      <c r="S7823" s="6"/>
    </row>
    <row r="7824" spans="19:19" x14ac:dyDescent="0.3">
      <c r="S7824" s="6"/>
    </row>
    <row r="7825" spans="19:19" x14ac:dyDescent="0.3">
      <c r="S7825" s="6"/>
    </row>
    <row r="7826" spans="19:19" x14ac:dyDescent="0.3">
      <c r="S7826" s="6"/>
    </row>
    <row r="7827" spans="19:19" x14ac:dyDescent="0.3">
      <c r="S7827" s="6"/>
    </row>
    <row r="7828" spans="19:19" x14ac:dyDescent="0.3">
      <c r="S7828" s="6"/>
    </row>
    <row r="7829" spans="19:19" x14ac:dyDescent="0.3">
      <c r="S7829" s="6"/>
    </row>
    <row r="7830" spans="19:19" x14ac:dyDescent="0.3">
      <c r="S7830" s="6"/>
    </row>
    <row r="7831" spans="19:19" x14ac:dyDescent="0.3">
      <c r="S7831" s="6"/>
    </row>
    <row r="7832" spans="19:19" x14ac:dyDescent="0.3">
      <c r="S7832" s="6"/>
    </row>
    <row r="7833" spans="19:19" x14ac:dyDescent="0.3">
      <c r="S7833" s="6"/>
    </row>
    <row r="7834" spans="19:19" x14ac:dyDescent="0.3">
      <c r="S7834" s="6"/>
    </row>
    <row r="7835" spans="19:19" x14ac:dyDescent="0.3">
      <c r="S7835" s="6"/>
    </row>
    <row r="7836" spans="19:19" x14ac:dyDescent="0.3">
      <c r="S7836" s="6"/>
    </row>
    <row r="7837" spans="19:19" x14ac:dyDescent="0.3">
      <c r="S7837" s="6"/>
    </row>
    <row r="7838" spans="19:19" x14ac:dyDescent="0.3">
      <c r="S7838" s="6"/>
    </row>
    <row r="7839" spans="19:19" x14ac:dyDescent="0.3">
      <c r="S7839" s="6"/>
    </row>
    <row r="7840" spans="19:19" x14ac:dyDescent="0.3">
      <c r="S7840" s="6"/>
    </row>
    <row r="7841" spans="19:19" x14ac:dyDescent="0.3">
      <c r="S7841" s="6"/>
    </row>
    <row r="7842" spans="19:19" x14ac:dyDescent="0.3">
      <c r="S7842" s="6"/>
    </row>
    <row r="7843" spans="19:19" x14ac:dyDescent="0.3">
      <c r="S7843" s="6"/>
    </row>
    <row r="7844" spans="19:19" x14ac:dyDescent="0.3">
      <c r="S7844" s="6"/>
    </row>
    <row r="7845" spans="19:19" x14ac:dyDescent="0.3">
      <c r="S7845" s="6"/>
    </row>
    <row r="7846" spans="19:19" x14ac:dyDescent="0.3">
      <c r="S7846" s="6"/>
    </row>
    <row r="7847" spans="19:19" x14ac:dyDescent="0.3">
      <c r="S7847" s="6"/>
    </row>
    <row r="7848" spans="19:19" x14ac:dyDescent="0.3">
      <c r="S7848" s="6"/>
    </row>
    <row r="7849" spans="19:19" x14ac:dyDescent="0.3">
      <c r="S7849" s="6"/>
    </row>
    <row r="7850" spans="19:19" x14ac:dyDescent="0.3">
      <c r="S7850" s="6"/>
    </row>
    <row r="7851" spans="19:19" x14ac:dyDescent="0.3">
      <c r="S7851" s="6"/>
    </row>
    <row r="7852" spans="19:19" x14ac:dyDescent="0.3">
      <c r="S7852" s="6"/>
    </row>
    <row r="7853" spans="19:19" x14ac:dyDescent="0.3">
      <c r="S7853" s="6"/>
    </row>
    <row r="7854" spans="19:19" x14ac:dyDescent="0.3">
      <c r="S7854" s="6"/>
    </row>
    <row r="7855" spans="19:19" x14ac:dyDescent="0.3">
      <c r="S7855" s="6"/>
    </row>
    <row r="7856" spans="19:19" x14ac:dyDescent="0.3">
      <c r="S7856" s="6"/>
    </row>
    <row r="7857" spans="19:19" x14ac:dyDescent="0.3">
      <c r="S7857" s="6"/>
    </row>
    <row r="7858" spans="19:19" x14ac:dyDescent="0.3">
      <c r="S7858" s="6"/>
    </row>
    <row r="7859" spans="19:19" x14ac:dyDescent="0.3">
      <c r="S7859" s="6"/>
    </row>
    <row r="7860" spans="19:19" x14ac:dyDescent="0.3">
      <c r="S7860" s="6"/>
    </row>
    <row r="7861" spans="19:19" x14ac:dyDescent="0.3">
      <c r="S7861" s="6"/>
    </row>
    <row r="7862" spans="19:19" x14ac:dyDescent="0.3">
      <c r="S7862" s="6"/>
    </row>
    <row r="7863" spans="19:19" x14ac:dyDescent="0.3">
      <c r="S7863" s="6"/>
    </row>
    <row r="7864" spans="19:19" x14ac:dyDescent="0.3">
      <c r="S7864" s="6"/>
    </row>
    <row r="7865" spans="19:19" x14ac:dyDescent="0.3">
      <c r="S7865" s="6"/>
    </row>
    <row r="7866" spans="19:19" x14ac:dyDescent="0.3">
      <c r="S7866" s="6"/>
    </row>
    <row r="7867" spans="19:19" x14ac:dyDescent="0.3">
      <c r="S7867" s="6"/>
    </row>
    <row r="7868" spans="19:19" x14ac:dyDescent="0.3">
      <c r="S7868" s="6"/>
    </row>
    <row r="7869" spans="19:19" x14ac:dyDescent="0.3">
      <c r="S7869" s="6"/>
    </row>
    <row r="7870" spans="19:19" x14ac:dyDescent="0.3">
      <c r="S7870" s="6"/>
    </row>
    <row r="7871" spans="19:19" x14ac:dyDescent="0.3">
      <c r="S7871" s="6"/>
    </row>
    <row r="7872" spans="19:19" x14ac:dyDescent="0.3">
      <c r="S7872" s="6"/>
    </row>
    <row r="7873" spans="19:19" x14ac:dyDescent="0.3">
      <c r="S7873" s="6"/>
    </row>
    <row r="7874" spans="19:19" x14ac:dyDescent="0.3">
      <c r="S7874" s="6"/>
    </row>
    <row r="7875" spans="19:19" x14ac:dyDescent="0.3">
      <c r="S7875" s="6"/>
    </row>
    <row r="7876" spans="19:19" x14ac:dyDescent="0.3">
      <c r="S7876" s="6"/>
    </row>
    <row r="7877" spans="19:19" x14ac:dyDescent="0.3">
      <c r="S7877" s="6"/>
    </row>
    <row r="7878" spans="19:19" x14ac:dyDescent="0.3">
      <c r="S7878" s="6"/>
    </row>
    <row r="7879" spans="19:19" x14ac:dyDescent="0.3">
      <c r="S7879" s="6"/>
    </row>
    <row r="7880" spans="19:19" x14ac:dyDescent="0.3">
      <c r="S7880" s="6"/>
    </row>
    <row r="7881" spans="19:19" x14ac:dyDescent="0.3">
      <c r="S7881" s="6"/>
    </row>
    <row r="7882" spans="19:19" x14ac:dyDescent="0.3">
      <c r="S7882" s="6"/>
    </row>
    <row r="7883" spans="19:19" x14ac:dyDescent="0.3">
      <c r="S7883" s="6"/>
    </row>
    <row r="7884" spans="19:19" x14ac:dyDescent="0.3">
      <c r="S7884" s="6"/>
    </row>
    <row r="7885" spans="19:19" x14ac:dyDescent="0.3">
      <c r="S7885" s="6"/>
    </row>
    <row r="7886" spans="19:19" x14ac:dyDescent="0.3">
      <c r="S7886" s="6"/>
    </row>
    <row r="7887" spans="19:19" x14ac:dyDescent="0.3">
      <c r="S7887" s="6"/>
    </row>
    <row r="7888" spans="19:19" x14ac:dyDescent="0.3">
      <c r="S7888" s="6"/>
    </row>
    <row r="7889" spans="19:19" x14ac:dyDescent="0.3">
      <c r="S7889" s="6"/>
    </row>
    <row r="7890" spans="19:19" x14ac:dyDescent="0.3">
      <c r="S7890" s="6"/>
    </row>
    <row r="7891" spans="19:19" x14ac:dyDescent="0.3">
      <c r="S7891" s="6"/>
    </row>
    <row r="7892" spans="19:19" x14ac:dyDescent="0.3">
      <c r="S7892" s="6"/>
    </row>
    <row r="7893" spans="19:19" x14ac:dyDescent="0.3">
      <c r="S7893" s="6"/>
    </row>
    <row r="7894" spans="19:19" x14ac:dyDescent="0.3">
      <c r="S7894" s="6"/>
    </row>
    <row r="7895" spans="19:19" x14ac:dyDescent="0.3">
      <c r="S7895" s="6"/>
    </row>
    <row r="7896" spans="19:19" x14ac:dyDescent="0.3">
      <c r="S7896" s="6"/>
    </row>
    <row r="7897" spans="19:19" x14ac:dyDescent="0.3">
      <c r="S7897" s="6"/>
    </row>
    <row r="7898" spans="19:19" x14ac:dyDescent="0.3">
      <c r="S7898" s="6"/>
    </row>
    <row r="7899" spans="19:19" x14ac:dyDescent="0.3">
      <c r="S7899" s="6"/>
    </row>
    <row r="7900" spans="19:19" x14ac:dyDescent="0.3">
      <c r="S7900" s="6"/>
    </row>
    <row r="7901" spans="19:19" x14ac:dyDescent="0.3">
      <c r="S7901" s="6"/>
    </row>
    <row r="7902" spans="19:19" x14ac:dyDescent="0.3">
      <c r="S7902" s="6"/>
    </row>
    <row r="7903" spans="19:19" x14ac:dyDescent="0.3">
      <c r="S7903" s="6"/>
    </row>
    <row r="7904" spans="19:19" x14ac:dyDescent="0.3">
      <c r="S7904" s="6"/>
    </row>
    <row r="7905" spans="19:19" x14ac:dyDescent="0.3">
      <c r="S7905" s="6"/>
    </row>
    <row r="7906" spans="19:19" x14ac:dyDescent="0.3">
      <c r="S7906" s="6"/>
    </row>
    <row r="7907" spans="19:19" x14ac:dyDescent="0.3">
      <c r="S7907" s="6"/>
    </row>
    <row r="7908" spans="19:19" x14ac:dyDescent="0.3">
      <c r="S7908" s="6"/>
    </row>
    <row r="7909" spans="19:19" x14ac:dyDescent="0.3">
      <c r="S7909" s="6"/>
    </row>
    <row r="7910" spans="19:19" x14ac:dyDescent="0.3">
      <c r="S7910" s="6"/>
    </row>
    <row r="7911" spans="19:19" x14ac:dyDescent="0.3">
      <c r="S7911" s="6"/>
    </row>
    <row r="7912" spans="19:19" x14ac:dyDescent="0.3">
      <c r="S7912" s="6"/>
    </row>
    <row r="7913" spans="19:19" x14ac:dyDescent="0.3">
      <c r="S7913" s="6"/>
    </row>
    <row r="7914" spans="19:19" x14ac:dyDescent="0.3">
      <c r="S7914" s="6"/>
    </row>
    <row r="7915" spans="19:19" x14ac:dyDescent="0.3">
      <c r="S7915" s="6"/>
    </row>
    <row r="7916" spans="19:19" x14ac:dyDescent="0.3">
      <c r="S7916" s="6"/>
    </row>
    <row r="7917" spans="19:19" x14ac:dyDescent="0.3">
      <c r="S7917" s="6"/>
    </row>
    <row r="7918" spans="19:19" x14ac:dyDescent="0.3">
      <c r="S7918" s="6"/>
    </row>
    <row r="7919" spans="19:19" x14ac:dyDescent="0.3">
      <c r="S7919" s="6"/>
    </row>
    <row r="7920" spans="19:19" x14ac:dyDescent="0.3">
      <c r="S7920" s="6"/>
    </row>
    <row r="7921" spans="19:19" x14ac:dyDescent="0.3">
      <c r="S7921" s="6"/>
    </row>
    <row r="7922" spans="19:19" x14ac:dyDescent="0.3">
      <c r="S7922" s="6"/>
    </row>
    <row r="7923" spans="19:19" x14ac:dyDescent="0.3">
      <c r="S7923" s="6"/>
    </row>
    <row r="7924" spans="19:19" x14ac:dyDescent="0.3">
      <c r="S7924" s="6"/>
    </row>
    <row r="7925" spans="19:19" x14ac:dyDescent="0.3">
      <c r="S7925" s="6"/>
    </row>
    <row r="7926" spans="19:19" x14ac:dyDescent="0.3">
      <c r="S7926" s="6"/>
    </row>
    <row r="7927" spans="19:19" x14ac:dyDescent="0.3">
      <c r="S7927" s="6"/>
    </row>
    <row r="7928" spans="19:19" x14ac:dyDescent="0.3">
      <c r="S7928" s="6"/>
    </row>
    <row r="7929" spans="19:19" x14ac:dyDescent="0.3">
      <c r="S7929" s="6"/>
    </row>
    <row r="7930" spans="19:19" x14ac:dyDescent="0.3">
      <c r="S7930" s="6"/>
    </row>
    <row r="7931" spans="19:19" x14ac:dyDescent="0.3">
      <c r="S7931" s="6"/>
    </row>
    <row r="7932" spans="19:19" x14ac:dyDescent="0.3">
      <c r="S7932" s="6"/>
    </row>
    <row r="7933" spans="19:19" x14ac:dyDescent="0.3">
      <c r="S7933" s="6"/>
    </row>
    <row r="7934" spans="19:19" x14ac:dyDescent="0.3">
      <c r="S7934" s="6"/>
    </row>
    <row r="7935" spans="19:19" x14ac:dyDescent="0.3">
      <c r="S7935" s="6"/>
    </row>
    <row r="7936" spans="19:19" x14ac:dyDescent="0.3">
      <c r="S7936" s="6"/>
    </row>
    <row r="7937" spans="19:19" x14ac:dyDescent="0.3">
      <c r="S7937" s="6"/>
    </row>
    <row r="7938" spans="19:19" x14ac:dyDescent="0.3">
      <c r="S7938" s="6"/>
    </row>
    <row r="7939" spans="19:19" x14ac:dyDescent="0.3">
      <c r="S7939" s="6"/>
    </row>
    <row r="7940" spans="19:19" x14ac:dyDescent="0.3">
      <c r="S7940" s="6"/>
    </row>
    <row r="7941" spans="19:19" x14ac:dyDescent="0.3">
      <c r="S7941" s="6"/>
    </row>
    <row r="7942" spans="19:19" x14ac:dyDescent="0.3">
      <c r="S7942" s="6"/>
    </row>
    <row r="7943" spans="19:19" x14ac:dyDescent="0.3">
      <c r="S7943" s="6"/>
    </row>
    <row r="7944" spans="19:19" x14ac:dyDescent="0.3">
      <c r="S7944" s="6"/>
    </row>
    <row r="7945" spans="19:19" x14ac:dyDescent="0.3">
      <c r="S7945" s="6"/>
    </row>
    <row r="7946" spans="19:19" x14ac:dyDescent="0.3">
      <c r="S7946" s="6"/>
    </row>
    <row r="7947" spans="19:19" x14ac:dyDescent="0.3">
      <c r="S7947" s="6"/>
    </row>
    <row r="7948" spans="19:19" x14ac:dyDescent="0.3">
      <c r="S7948" s="6"/>
    </row>
    <row r="7949" spans="19:19" x14ac:dyDescent="0.3">
      <c r="S7949" s="6"/>
    </row>
    <row r="7950" spans="19:19" x14ac:dyDescent="0.3">
      <c r="S7950" s="6"/>
    </row>
    <row r="7951" spans="19:19" x14ac:dyDescent="0.3">
      <c r="S7951" s="6"/>
    </row>
    <row r="7952" spans="19:19" x14ac:dyDescent="0.3">
      <c r="S7952" s="6"/>
    </row>
    <row r="7953" spans="19:19" x14ac:dyDescent="0.3">
      <c r="S7953" s="6"/>
    </row>
    <row r="7954" spans="19:19" x14ac:dyDescent="0.3">
      <c r="S7954" s="6"/>
    </row>
    <row r="7955" spans="19:19" x14ac:dyDescent="0.3">
      <c r="S7955" s="6"/>
    </row>
    <row r="7956" spans="19:19" x14ac:dyDescent="0.3">
      <c r="S7956" s="6"/>
    </row>
    <row r="7957" spans="19:19" x14ac:dyDescent="0.3">
      <c r="S7957" s="6"/>
    </row>
    <row r="7958" spans="19:19" x14ac:dyDescent="0.3">
      <c r="S7958" s="6"/>
    </row>
    <row r="7959" spans="19:19" x14ac:dyDescent="0.3">
      <c r="S7959" s="6"/>
    </row>
    <row r="7960" spans="19:19" x14ac:dyDescent="0.3">
      <c r="S7960" s="6"/>
    </row>
    <row r="7961" spans="19:19" x14ac:dyDescent="0.3">
      <c r="S7961" s="6"/>
    </row>
    <row r="7962" spans="19:19" x14ac:dyDescent="0.3">
      <c r="S7962" s="6"/>
    </row>
    <row r="7963" spans="19:19" x14ac:dyDescent="0.3">
      <c r="S7963" s="6"/>
    </row>
    <row r="7964" spans="19:19" x14ac:dyDescent="0.3">
      <c r="S7964" s="6"/>
    </row>
    <row r="7965" spans="19:19" x14ac:dyDescent="0.3">
      <c r="S7965" s="6"/>
    </row>
    <row r="7966" spans="19:19" x14ac:dyDescent="0.3">
      <c r="S7966" s="6"/>
    </row>
    <row r="7967" spans="19:19" x14ac:dyDescent="0.3">
      <c r="S7967" s="6"/>
    </row>
    <row r="7968" spans="19:19" x14ac:dyDescent="0.3">
      <c r="S7968" s="6"/>
    </row>
    <row r="7969" spans="19:19" x14ac:dyDescent="0.3">
      <c r="S7969" s="6"/>
    </row>
    <row r="7970" spans="19:19" x14ac:dyDescent="0.3">
      <c r="S7970" s="6"/>
    </row>
    <row r="7971" spans="19:19" x14ac:dyDescent="0.3">
      <c r="S7971" s="6"/>
    </row>
    <row r="7972" spans="19:19" x14ac:dyDescent="0.3">
      <c r="S7972" s="6"/>
    </row>
    <row r="7973" spans="19:19" x14ac:dyDescent="0.3">
      <c r="S7973" s="6"/>
    </row>
    <row r="7974" spans="19:19" x14ac:dyDescent="0.3">
      <c r="S7974" s="6"/>
    </row>
    <row r="7975" spans="19:19" x14ac:dyDescent="0.3">
      <c r="S7975" s="6"/>
    </row>
    <row r="7976" spans="19:19" x14ac:dyDescent="0.3">
      <c r="S7976" s="6"/>
    </row>
    <row r="7977" spans="19:19" x14ac:dyDescent="0.3">
      <c r="S7977" s="6"/>
    </row>
    <row r="7978" spans="19:19" x14ac:dyDescent="0.3">
      <c r="S7978" s="6"/>
    </row>
    <row r="7979" spans="19:19" x14ac:dyDescent="0.3">
      <c r="S7979" s="6"/>
    </row>
    <row r="7980" spans="19:19" x14ac:dyDescent="0.3">
      <c r="S7980" s="6"/>
    </row>
    <row r="7981" spans="19:19" x14ac:dyDescent="0.3">
      <c r="S7981" s="6"/>
    </row>
    <row r="7982" spans="19:19" x14ac:dyDescent="0.3">
      <c r="S7982" s="6"/>
    </row>
    <row r="7983" spans="19:19" x14ac:dyDescent="0.3">
      <c r="S7983" s="6"/>
    </row>
    <row r="7984" spans="19:19" x14ac:dyDescent="0.3">
      <c r="S7984" s="6"/>
    </row>
    <row r="7985" spans="19:19" x14ac:dyDescent="0.3">
      <c r="S7985" s="6"/>
    </row>
    <row r="7986" spans="19:19" x14ac:dyDescent="0.3">
      <c r="S7986" s="6"/>
    </row>
    <row r="7987" spans="19:19" x14ac:dyDescent="0.3">
      <c r="S7987" s="6"/>
    </row>
    <row r="7988" spans="19:19" x14ac:dyDescent="0.3">
      <c r="S7988" s="6"/>
    </row>
    <row r="7989" spans="19:19" x14ac:dyDescent="0.3">
      <c r="S7989" s="6"/>
    </row>
    <row r="7990" spans="19:19" x14ac:dyDescent="0.3">
      <c r="S7990" s="6"/>
    </row>
    <row r="7991" spans="19:19" x14ac:dyDescent="0.3">
      <c r="S7991" s="6"/>
    </row>
    <row r="7992" spans="19:19" x14ac:dyDescent="0.3">
      <c r="S7992" s="6"/>
    </row>
    <row r="7993" spans="19:19" x14ac:dyDescent="0.3">
      <c r="S7993" s="6"/>
    </row>
    <row r="7994" spans="19:19" x14ac:dyDescent="0.3">
      <c r="S7994" s="6"/>
    </row>
    <row r="7995" spans="19:19" x14ac:dyDescent="0.3">
      <c r="S7995" s="6"/>
    </row>
    <row r="7996" spans="19:19" x14ac:dyDescent="0.3">
      <c r="S7996" s="6"/>
    </row>
    <row r="7997" spans="19:19" x14ac:dyDescent="0.3">
      <c r="S7997" s="6"/>
    </row>
    <row r="7998" spans="19:19" x14ac:dyDescent="0.3">
      <c r="S7998" s="6"/>
    </row>
    <row r="7999" spans="19:19" x14ac:dyDescent="0.3">
      <c r="S7999" s="6"/>
    </row>
    <row r="8000" spans="19:19" x14ac:dyDescent="0.3">
      <c r="S8000" s="6"/>
    </row>
    <row r="8001" spans="19:19" x14ac:dyDescent="0.3">
      <c r="S8001" s="6"/>
    </row>
    <row r="8002" spans="19:19" x14ac:dyDescent="0.3">
      <c r="S8002" s="6"/>
    </row>
    <row r="8003" spans="19:19" x14ac:dyDescent="0.3">
      <c r="S8003" s="6"/>
    </row>
    <row r="8004" spans="19:19" x14ac:dyDescent="0.3">
      <c r="S8004" s="6"/>
    </row>
    <row r="8005" spans="19:19" x14ac:dyDescent="0.3">
      <c r="S8005" s="6"/>
    </row>
    <row r="8006" spans="19:19" x14ac:dyDescent="0.3">
      <c r="S8006" s="6"/>
    </row>
    <row r="8007" spans="19:19" x14ac:dyDescent="0.3">
      <c r="S8007" s="6"/>
    </row>
    <row r="8008" spans="19:19" x14ac:dyDescent="0.3">
      <c r="S8008" s="6"/>
    </row>
    <row r="8009" spans="19:19" x14ac:dyDescent="0.3">
      <c r="S8009" s="6"/>
    </row>
    <row r="8010" spans="19:19" x14ac:dyDescent="0.3">
      <c r="S8010" s="6"/>
    </row>
    <row r="8011" spans="19:19" x14ac:dyDescent="0.3">
      <c r="S8011" s="6"/>
    </row>
    <row r="8012" spans="19:19" x14ac:dyDescent="0.3">
      <c r="S8012" s="6"/>
    </row>
    <row r="8013" spans="19:19" x14ac:dyDescent="0.3">
      <c r="S8013" s="6"/>
    </row>
    <row r="8014" spans="19:19" x14ac:dyDescent="0.3">
      <c r="S8014" s="6"/>
    </row>
    <row r="8015" spans="19:19" x14ac:dyDescent="0.3">
      <c r="S8015" s="6"/>
    </row>
    <row r="8016" spans="19:19" x14ac:dyDescent="0.3">
      <c r="S8016" s="6"/>
    </row>
    <row r="8017" spans="19:19" x14ac:dyDescent="0.3">
      <c r="S8017" s="6"/>
    </row>
    <row r="8018" spans="19:19" x14ac:dyDescent="0.3">
      <c r="S8018" s="6"/>
    </row>
    <row r="8019" spans="19:19" x14ac:dyDescent="0.3">
      <c r="S8019" s="6"/>
    </row>
    <row r="8020" spans="19:19" x14ac:dyDescent="0.3">
      <c r="S8020" s="6"/>
    </row>
    <row r="8021" spans="19:19" x14ac:dyDescent="0.3">
      <c r="S8021" s="6"/>
    </row>
    <row r="8022" spans="19:19" x14ac:dyDescent="0.3">
      <c r="S8022" s="6"/>
    </row>
    <row r="8023" spans="19:19" x14ac:dyDescent="0.3">
      <c r="S8023" s="6"/>
    </row>
    <row r="8024" spans="19:19" x14ac:dyDescent="0.3">
      <c r="S8024" s="6"/>
    </row>
    <row r="8025" spans="19:19" x14ac:dyDescent="0.3">
      <c r="S8025" s="6"/>
    </row>
    <row r="8026" spans="19:19" x14ac:dyDescent="0.3">
      <c r="S8026" s="6"/>
    </row>
    <row r="8027" spans="19:19" x14ac:dyDescent="0.3">
      <c r="S8027" s="6"/>
    </row>
    <row r="8028" spans="19:19" x14ac:dyDescent="0.3">
      <c r="S8028" s="6"/>
    </row>
    <row r="8029" spans="19:19" x14ac:dyDescent="0.3">
      <c r="S8029" s="6"/>
    </row>
    <row r="8030" spans="19:19" x14ac:dyDescent="0.3">
      <c r="S8030" s="6"/>
    </row>
    <row r="8031" spans="19:19" x14ac:dyDescent="0.3">
      <c r="S8031" s="6"/>
    </row>
    <row r="8032" spans="19:19" x14ac:dyDescent="0.3">
      <c r="S8032" s="6"/>
    </row>
    <row r="8033" spans="19:19" x14ac:dyDescent="0.3">
      <c r="S8033" s="6"/>
    </row>
    <row r="8034" spans="19:19" x14ac:dyDescent="0.3">
      <c r="S8034" s="6"/>
    </row>
    <row r="8035" spans="19:19" x14ac:dyDescent="0.3">
      <c r="S8035" s="6"/>
    </row>
    <row r="8036" spans="19:19" x14ac:dyDescent="0.3">
      <c r="S8036" s="6"/>
    </row>
    <row r="8037" spans="19:19" x14ac:dyDescent="0.3">
      <c r="S8037" s="6"/>
    </row>
    <row r="8038" spans="19:19" x14ac:dyDescent="0.3">
      <c r="S8038" s="6"/>
    </row>
    <row r="8039" spans="19:19" x14ac:dyDescent="0.3">
      <c r="S8039" s="6"/>
    </row>
    <row r="8040" spans="19:19" x14ac:dyDescent="0.3">
      <c r="S8040" s="6"/>
    </row>
    <row r="8041" spans="19:19" x14ac:dyDescent="0.3">
      <c r="S8041" s="6"/>
    </row>
    <row r="8042" spans="19:19" x14ac:dyDescent="0.3">
      <c r="S8042" s="6"/>
    </row>
    <row r="8043" spans="19:19" x14ac:dyDescent="0.3">
      <c r="S8043" s="6"/>
    </row>
    <row r="8044" spans="19:19" x14ac:dyDescent="0.3">
      <c r="S8044" s="6"/>
    </row>
    <row r="8045" spans="19:19" x14ac:dyDescent="0.3">
      <c r="S8045" s="6"/>
    </row>
    <row r="8046" spans="19:19" x14ac:dyDescent="0.3">
      <c r="S8046" s="6"/>
    </row>
    <row r="8047" spans="19:19" x14ac:dyDescent="0.3">
      <c r="S8047" s="6"/>
    </row>
    <row r="8048" spans="19:19" x14ac:dyDescent="0.3">
      <c r="S8048" s="6"/>
    </row>
    <row r="8049" spans="19:19" x14ac:dyDescent="0.3">
      <c r="S8049" s="6"/>
    </row>
    <row r="8050" spans="19:19" x14ac:dyDescent="0.3">
      <c r="S8050" s="6"/>
    </row>
    <row r="8051" spans="19:19" x14ac:dyDescent="0.3">
      <c r="S8051" s="6"/>
    </row>
    <row r="8052" spans="19:19" x14ac:dyDescent="0.3">
      <c r="S8052" s="6"/>
    </row>
    <row r="8053" spans="19:19" x14ac:dyDescent="0.3">
      <c r="S8053" s="6"/>
    </row>
    <row r="8054" spans="19:19" x14ac:dyDescent="0.3">
      <c r="S8054" s="6"/>
    </row>
    <row r="8055" spans="19:19" x14ac:dyDescent="0.3">
      <c r="S8055" s="6"/>
    </row>
    <row r="8056" spans="19:19" x14ac:dyDescent="0.3">
      <c r="S8056" s="6"/>
    </row>
    <row r="8057" spans="19:19" x14ac:dyDescent="0.3">
      <c r="S8057" s="6"/>
    </row>
    <row r="8058" spans="19:19" x14ac:dyDescent="0.3">
      <c r="S8058" s="6"/>
    </row>
    <row r="8059" spans="19:19" x14ac:dyDescent="0.3">
      <c r="S8059" s="6"/>
    </row>
    <row r="8060" spans="19:19" x14ac:dyDescent="0.3">
      <c r="S8060" s="6"/>
    </row>
    <row r="8061" spans="19:19" x14ac:dyDescent="0.3">
      <c r="S8061" s="6"/>
    </row>
    <row r="8062" spans="19:19" x14ac:dyDescent="0.3">
      <c r="S8062" s="6"/>
    </row>
    <row r="8063" spans="19:19" x14ac:dyDescent="0.3">
      <c r="S8063" s="6"/>
    </row>
    <row r="8064" spans="19:19" x14ac:dyDescent="0.3">
      <c r="S8064" s="6"/>
    </row>
    <row r="8065" spans="19:19" x14ac:dyDescent="0.3">
      <c r="S8065" s="6"/>
    </row>
    <row r="8066" spans="19:19" x14ac:dyDescent="0.3">
      <c r="S8066" s="6"/>
    </row>
    <row r="8067" spans="19:19" x14ac:dyDescent="0.3">
      <c r="S8067" s="6"/>
    </row>
    <row r="8068" spans="19:19" x14ac:dyDescent="0.3">
      <c r="S8068" s="6"/>
    </row>
    <row r="8069" spans="19:19" x14ac:dyDescent="0.3">
      <c r="S8069" s="6"/>
    </row>
    <row r="8070" spans="19:19" x14ac:dyDescent="0.3">
      <c r="S8070" s="6"/>
    </row>
    <row r="8071" spans="19:19" x14ac:dyDescent="0.3">
      <c r="S8071" s="6"/>
    </row>
    <row r="8072" spans="19:19" x14ac:dyDescent="0.3">
      <c r="S8072" s="6"/>
    </row>
    <row r="8073" spans="19:19" x14ac:dyDescent="0.3">
      <c r="S8073" s="6"/>
    </row>
    <row r="8074" spans="19:19" x14ac:dyDescent="0.3">
      <c r="S8074" s="6"/>
    </row>
    <row r="8075" spans="19:19" x14ac:dyDescent="0.3">
      <c r="S8075" s="6"/>
    </row>
    <row r="8076" spans="19:19" x14ac:dyDescent="0.3">
      <c r="S8076" s="6"/>
    </row>
    <row r="8077" spans="19:19" x14ac:dyDescent="0.3">
      <c r="S8077" s="6"/>
    </row>
    <row r="8078" spans="19:19" x14ac:dyDescent="0.3">
      <c r="S8078" s="6"/>
    </row>
    <row r="8079" spans="19:19" x14ac:dyDescent="0.3">
      <c r="S8079" s="6"/>
    </row>
    <row r="8080" spans="19:19" x14ac:dyDescent="0.3">
      <c r="S8080" s="6"/>
    </row>
    <row r="8081" spans="19:19" x14ac:dyDescent="0.3">
      <c r="S8081" s="6"/>
    </row>
    <row r="8082" spans="19:19" x14ac:dyDescent="0.3">
      <c r="S8082" s="6"/>
    </row>
    <row r="8083" spans="19:19" x14ac:dyDescent="0.3">
      <c r="S8083" s="6"/>
    </row>
    <row r="8084" spans="19:19" x14ac:dyDescent="0.3">
      <c r="S8084" s="6"/>
    </row>
    <row r="8085" spans="19:19" x14ac:dyDescent="0.3">
      <c r="S8085" s="6"/>
    </row>
    <row r="8086" spans="19:19" x14ac:dyDescent="0.3">
      <c r="S8086" s="6"/>
    </row>
    <row r="8087" spans="19:19" x14ac:dyDescent="0.3">
      <c r="S8087" s="6"/>
    </row>
    <row r="8088" spans="19:19" x14ac:dyDescent="0.3">
      <c r="S8088" s="6"/>
    </row>
    <row r="8089" spans="19:19" x14ac:dyDescent="0.3">
      <c r="S8089" s="6"/>
    </row>
    <row r="8090" spans="19:19" x14ac:dyDescent="0.3">
      <c r="S8090" s="6"/>
    </row>
    <row r="8091" spans="19:19" x14ac:dyDescent="0.3">
      <c r="S8091" s="6"/>
    </row>
    <row r="8092" spans="19:19" x14ac:dyDescent="0.3">
      <c r="S8092" s="6"/>
    </row>
    <row r="8093" spans="19:19" x14ac:dyDescent="0.3">
      <c r="S8093" s="6"/>
    </row>
    <row r="8094" spans="19:19" x14ac:dyDescent="0.3">
      <c r="S8094" s="6"/>
    </row>
    <row r="8095" spans="19:19" x14ac:dyDescent="0.3">
      <c r="S8095" s="6"/>
    </row>
    <row r="8096" spans="19:19" x14ac:dyDescent="0.3">
      <c r="S8096" s="6"/>
    </row>
    <row r="8097" spans="19:19" x14ac:dyDescent="0.3">
      <c r="S8097" s="6"/>
    </row>
    <row r="8098" spans="19:19" x14ac:dyDescent="0.3">
      <c r="S8098" s="6"/>
    </row>
    <row r="8099" spans="19:19" x14ac:dyDescent="0.3">
      <c r="S8099" s="6"/>
    </row>
    <row r="8100" spans="19:19" x14ac:dyDescent="0.3">
      <c r="S8100" s="6"/>
    </row>
    <row r="8101" spans="19:19" x14ac:dyDescent="0.3">
      <c r="S8101" s="6"/>
    </row>
    <row r="8102" spans="19:19" x14ac:dyDescent="0.3">
      <c r="S8102" s="6"/>
    </row>
    <row r="8103" spans="19:19" x14ac:dyDescent="0.3">
      <c r="S8103" s="6"/>
    </row>
    <row r="8104" spans="19:19" x14ac:dyDescent="0.3">
      <c r="S8104" s="6"/>
    </row>
    <row r="8105" spans="19:19" x14ac:dyDescent="0.3">
      <c r="S8105" s="6"/>
    </row>
    <row r="8106" spans="19:19" x14ac:dyDescent="0.3">
      <c r="S8106" s="6"/>
    </row>
    <row r="8107" spans="19:19" x14ac:dyDescent="0.3">
      <c r="S8107" s="6"/>
    </row>
    <row r="8108" spans="19:19" x14ac:dyDescent="0.3">
      <c r="S8108" s="6"/>
    </row>
    <row r="8109" spans="19:19" x14ac:dyDescent="0.3">
      <c r="S8109" s="6"/>
    </row>
    <row r="8110" spans="19:19" x14ac:dyDescent="0.3">
      <c r="S8110" s="6"/>
    </row>
    <row r="8111" spans="19:19" x14ac:dyDescent="0.3">
      <c r="S8111" s="6"/>
    </row>
    <row r="8112" spans="19:19" x14ac:dyDescent="0.3">
      <c r="S8112" s="6"/>
    </row>
    <row r="8113" spans="19:19" x14ac:dyDescent="0.3">
      <c r="S8113" s="6"/>
    </row>
    <row r="8114" spans="19:19" x14ac:dyDescent="0.3">
      <c r="S8114" s="6"/>
    </row>
    <row r="8115" spans="19:19" x14ac:dyDescent="0.3">
      <c r="S8115" s="6"/>
    </row>
    <row r="8116" spans="19:19" x14ac:dyDescent="0.3">
      <c r="S8116" s="6"/>
    </row>
    <row r="8117" spans="19:19" x14ac:dyDescent="0.3">
      <c r="S8117" s="6"/>
    </row>
    <row r="8118" spans="19:19" x14ac:dyDescent="0.3">
      <c r="S8118" s="6"/>
    </row>
    <row r="8119" spans="19:19" x14ac:dyDescent="0.3">
      <c r="S8119" s="6"/>
    </row>
    <row r="8120" spans="19:19" x14ac:dyDescent="0.3">
      <c r="S8120" s="6"/>
    </row>
    <row r="8121" spans="19:19" x14ac:dyDescent="0.3">
      <c r="S8121" s="6"/>
    </row>
    <row r="8122" spans="19:19" x14ac:dyDescent="0.3">
      <c r="S8122" s="6"/>
    </row>
    <row r="8123" spans="19:19" x14ac:dyDescent="0.3">
      <c r="S8123" s="6"/>
    </row>
    <row r="8124" spans="19:19" x14ac:dyDescent="0.3">
      <c r="S8124" s="6"/>
    </row>
    <row r="8125" spans="19:19" x14ac:dyDescent="0.3">
      <c r="S8125" s="6"/>
    </row>
    <row r="8126" spans="19:19" x14ac:dyDescent="0.3">
      <c r="S8126" s="6"/>
    </row>
    <row r="8127" spans="19:19" x14ac:dyDescent="0.3">
      <c r="S8127" s="6"/>
    </row>
    <row r="8128" spans="19:19" x14ac:dyDescent="0.3">
      <c r="S8128" s="6"/>
    </row>
    <row r="8129" spans="19:19" x14ac:dyDescent="0.3">
      <c r="S8129" s="6"/>
    </row>
    <row r="8130" spans="19:19" x14ac:dyDescent="0.3">
      <c r="S8130" s="6"/>
    </row>
    <row r="8131" spans="19:19" x14ac:dyDescent="0.3">
      <c r="S8131" s="6"/>
    </row>
    <row r="8132" spans="19:19" x14ac:dyDescent="0.3">
      <c r="S8132" s="6"/>
    </row>
    <row r="8133" spans="19:19" x14ac:dyDescent="0.3">
      <c r="S8133" s="6"/>
    </row>
    <row r="8134" spans="19:19" x14ac:dyDescent="0.3">
      <c r="S8134" s="6"/>
    </row>
    <row r="8135" spans="19:19" x14ac:dyDescent="0.3">
      <c r="S8135" s="6"/>
    </row>
    <row r="8136" spans="19:19" x14ac:dyDescent="0.3">
      <c r="S8136" s="6"/>
    </row>
    <row r="8137" spans="19:19" x14ac:dyDescent="0.3">
      <c r="S8137" s="6"/>
    </row>
    <row r="8138" spans="19:19" x14ac:dyDescent="0.3">
      <c r="S8138" s="6"/>
    </row>
    <row r="8139" spans="19:19" x14ac:dyDescent="0.3">
      <c r="S8139" s="6"/>
    </row>
    <row r="8140" spans="19:19" x14ac:dyDescent="0.3">
      <c r="S8140" s="6"/>
    </row>
    <row r="8141" spans="19:19" x14ac:dyDescent="0.3">
      <c r="S8141" s="6"/>
    </row>
    <row r="8142" spans="19:19" x14ac:dyDescent="0.3">
      <c r="S8142" s="6"/>
    </row>
    <row r="8143" spans="19:19" x14ac:dyDescent="0.3">
      <c r="S8143" s="6"/>
    </row>
    <row r="8144" spans="19:19" x14ac:dyDescent="0.3">
      <c r="S8144" s="6"/>
    </row>
    <row r="8145" spans="19:19" x14ac:dyDescent="0.3">
      <c r="S8145" s="6"/>
    </row>
    <row r="8146" spans="19:19" x14ac:dyDescent="0.3">
      <c r="S8146" s="6"/>
    </row>
    <row r="8147" spans="19:19" x14ac:dyDescent="0.3">
      <c r="S8147" s="6"/>
    </row>
    <row r="8148" spans="19:19" x14ac:dyDescent="0.3">
      <c r="S8148" s="6"/>
    </row>
    <row r="8149" spans="19:19" x14ac:dyDescent="0.3">
      <c r="S8149" s="6"/>
    </row>
    <row r="8150" spans="19:19" x14ac:dyDescent="0.3">
      <c r="S8150" s="6"/>
    </row>
    <row r="8151" spans="19:19" x14ac:dyDescent="0.3">
      <c r="S8151" s="6"/>
    </row>
    <row r="8152" spans="19:19" x14ac:dyDescent="0.3">
      <c r="S8152" s="6"/>
    </row>
    <row r="8153" spans="19:19" x14ac:dyDescent="0.3">
      <c r="S8153" s="6"/>
    </row>
    <row r="8154" spans="19:19" x14ac:dyDescent="0.3">
      <c r="S8154" s="6"/>
    </row>
    <row r="8155" spans="19:19" x14ac:dyDescent="0.3">
      <c r="S8155" s="6"/>
    </row>
    <row r="8156" spans="19:19" x14ac:dyDescent="0.3">
      <c r="S8156" s="6"/>
    </row>
    <row r="8157" spans="19:19" x14ac:dyDescent="0.3">
      <c r="S8157" s="6"/>
    </row>
    <row r="8158" spans="19:19" x14ac:dyDescent="0.3">
      <c r="S8158" s="6"/>
    </row>
    <row r="8159" spans="19:19" x14ac:dyDescent="0.3">
      <c r="S8159" s="6"/>
    </row>
    <row r="8160" spans="19:19" x14ac:dyDescent="0.3">
      <c r="S8160" s="6"/>
    </row>
    <row r="8161" spans="19:19" x14ac:dyDescent="0.3">
      <c r="S8161" s="6"/>
    </row>
    <row r="8162" spans="19:19" x14ac:dyDescent="0.3">
      <c r="S8162" s="6"/>
    </row>
    <row r="8163" spans="19:19" x14ac:dyDescent="0.3">
      <c r="S8163" s="6"/>
    </row>
    <row r="8164" spans="19:19" x14ac:dyDescent="0.3">
      <c r="S8164" s="6"/>
    </row>
    <row r="8165" spans="19:19" x14ac:dyDescent="0.3">
      <c r="S8165" s="6"/>
    </row>
    <row r="8166" spans="19:19" x14ac:dyDescent="0.3">
      <c r="S8166" s="6"/>
    </row>
    <row r="8167" spans="19:19" x14ac:dyDescent="0.3">
      <c r="S8167" s="6"/>
    </row>
    <row r="8168" spans="19:19" x14ac:dyDescent="0.3">
      <c r="S8168" s="6"/>
    </row>
    <row r="8169" spans="19:19" x14ac:dyDescent="0.3">
      <c r="S8169" s="6"/>
    </row>
    <row r="8170" spans="19:19" x14ac:dyDescent="0.3">
      <c r="S8170" s="6"/>
    </row>
    <row r="8171" spans="19:19" x14ac:dyDescent="0.3">
      <c r="S8171" s="6"/>
    </row>
    <row r="8172" spans="19:19" x14ac:dyDescent="0.3">
      <c r="S8172" s="6"/>
    </row>
    <row r="8173" spans="19:19" x14ac:dyDescent="0.3">
      <c r="S8173" s="6"/>
    </row>
    <row r="8174" spans="19:19" x14ac:dyDescent="0.3">
      <c r="S8174" s="6"/>
    </row>
    <row r="8175" spans="19:19" x14ac:dyDescent="0.3">
      <c r="S8175" s="6"/>
    </row>
    <row r="8176" spans="19:19" x14ac:dyDescent="0.3">
      <c r="S8176" s="6"/>
    </row>
    <row r="8177" spans="19:19" x14ac:dyDescent="0.3">
      <c r="S8177" s="6"/>
    </row>
    <row r="8178" spans="19:19" x14ac:dyDescent="0.3">
      <c r="S8178" s="6"/>
    </row>
    <row r="8179" spans="19:19" x14ac:dyDescent="0.3">
      <c r="S8179" s="6"/>
    </row>
    <row r="8180" spans="19:19" x14ac:dyDescent="0.3">
      <c r="S8180" s="6"/>
    </row>
    <row r="8181" spans="19:19" x14ac:dyDescent="0.3">
      <c r="S8181" s="6"/>
    </row>
    <row r="8182" spans="19:19" x14ac:dyDescent="0.3">
      <c r="S8182" s="6"/>
    </row>
    <row r="8183" spans="19:19" x14ac:dyDescent="0.3">
      <c r="S8183" s="6"/>
    </row>
    <row r="8184" spans="19:19" x14ac:dyDescent="0.3">
      <c r="S8184" s="6"/>
    </row>
    <row r="8185" spans="19:19" x14ac:dyDescent="0.3">
      <c r="S8185" s="6"/>
    </row>
    <row r="8186" spans="19:19" x14ac:dyDescent="0.3">
      <c r="S8186" s="6"/>
    </row>
    <row r="8187" spans="19:19" x14ac:dyDescent="0.3">
      <c r="S8187" s="6"/>
    </row>
    <row r="8188" spans="19:19" x14ac:dyDescent="0.3">
      <c r="S8188" s="6"/>
    </row>
    <row r="8189" spans="19:19" x14ac:dyDescent="0.3">
      <c r="S8189" s="6"/>
    </row>
    <row r="8190" spans="19:19" x14ac:dyDescent="0.3">
      <c r="S8190" s="6"/>
    </row>
    <row r="8191" spans="19:19" x14ac:dyDescent="0.3">
      <c r="S8191" s="6"/>
    </row>
    <row r="8192" spans="19:19" x14ac:dyDescent="0.3">
      <c r="S8192" s="6"/>
    </row>
    <row r="8193" spans="19:19" x14ac:dyDescent="0.3">
      <c r="S8193" s="6"/>
    </row>
    <row r="8194" spans="19:19" x14ac:dyDescent="0.3">
      <c r="S8194" s="6"/>
    </row>
    <row r="8195" spans="19:19" x14ac:dyDescent="0.3">
      <c r="S8195" s="6"/>
    </row>
    <row r="8196" spans="19:19" x14ac:dyDescent="0.3">
      <c r="S8196" s="6"/>
    </row>
    <row r="8197" spans="19:19" x14ac:dyDescent="0.3">
      <c r="S8197" s="6"/>
    </row>
    <row r="8198" spans="19:19" x14ac:dyDescent="0.3">
      <c r="S8198" s="6"/>
    </row>
    <row r="8199" spans="19:19" x14ac:dyDescent="0.3">
      <c r="S8199" s="6"/>
    </row>
    <row r="8200" spans="19:19" x14ac:dyDescent="0.3">
      <c r="S8200" s="6"/>
    </row>
    <row r="8201" spans="19:19" x14ac:dyDescent="0.3">
      <c r="S8201" s="6"/>
    </row>
    <row r="8202" spans="19:19" x14ac:dyDescent="0.3">
      <c r="S8202" s="6"/>
    </row>
    <row r="8203" spans="19:19" x14ac:dyDescent="0.3">
      <c r="S8203" s="6"/>
    </row>
    <row r="8204" spans="19:19" x14ac:dyDescent="0.3">
      <c r="S8204" s="6"/>
    </row>
    <row r="8205" spans="19:19" x14ac:dyDescent="0.3">
      <c r="S8205" s="6"/>
    </row>
    <row r="8206" spans="19:19" x14ac:dyDescent="0.3">
      <c r="S8206" s="6"/>
    </row>
    <row r="8207" spans="19:19" x14ac:dyDescent="0.3">
      <c r="S8207" s="6"/>
    </row>
    <row r="8208" spans="19:19" x14ac:dyDescent="0.3">
      <c r="S8208" s="6"/>
    </row>
    <row r="8209" spans="19:19" x14ac:dyDescent="0.3">
      <c r="S8209" s="6"/>
    </row>
    <row r="8210" spans="19:19" x14ac:dyDescent="0.3">
      <c r="S8210" s="6"/>
    </row>
    <row r="8211" spans="19:19" x14ac:dyDescent="0.3">
      <c r="S8211" s="6"/>
    </row>
    <row r="8212" spans="19:19" x14ac:dyDescent="0.3">
      <c r="S8212" s="6"/>
    </row>
    <row r="8213" spans="19:19" x14ac:dyDescent="0.3">
      <c r="S8213" s="6"/>
    </row>
    <row r="8214" spans="19:19" x14ac:dyDescent="0.3">
      <c r="S8214" s="6"/>
    </row>
    <row r="8215" spans="19:19" x14ac:dyDescent="0.3">
      <c r="S8215" s="6"/>
    </row>
    <row r="8216" spans="19:19" x14ac:dyDescent="0.3">
      <c r="S8216" s="6"/>
    </row>
    <row r="8217" spans="19:19" x14ac:dyDescent="0.3">
      <c r="S8217" s="6"/>
    </row>
    <row r="8218" spans="19:19" x14ac:dyDescent="0.3">
      <c r="S8218" s="6"/>
    </row>
    <row r="8219" spans="19:19" x14ac:dyDescent="0.3">
      <c r="S8219" s="6"/>
    </row>
    <row r="8220" spans="19:19" x14ac:dyDescent="0.3">
      <c r="S8220" s="6"/>
    </row>
    <row r="8221" spans="19:19" x14ac:dyDescent="0.3">
      <c r="S8221" s="6"/>
    </row>
    <row r="8222" spans="19:19" x14ac:dyDescent="0.3">
      <c r="S8222" s="6"/>
    </row>
    <row r="8223" spans="19:19" x14ac:dyDescent="0.3">
      <c r="S8223" s="6"/>
    </row>
    <row r="8224" spans="19:19" x14ac:dyDescent="0.3">
      <c r="S8224" s="6"/>
    </row>
    <row r="8225" spans="19:19" x14ac:dyDescent="0.3">
      <c r="S8225" s="6"/>
    </row>
    <row r="8226" spans="19:19" x14ac:dyDescent="0.3">
      <c r="S8226" s="6"/>
    </row>
    <row r="8227" spans="19:19" x14ac:dyDescent="0.3">
      <c r="S8227" s="6"/>
    </row>
    <row r="8228" spans="19:19" x14ac:dyDescent="0.3">
      <c r="S8228" s="6"/>
    </row>
    <row r="8229" spans="19:19" x14ac:dyDescent="0.3">
      <c r="S8229" s="6"/>
    </row>
    <row r="8230" spans="19:19" x14ac:dyDescent="0.3">
      <c r="S8230" s="6"/>
    </row>
    <row r="8231" spans="19:19" x14ac:dyDescent="0.3">
      <c r="S8231" s="6"/>
    </row>
    <row r="8232" spans="19:19" x14ac:dyDescent="0.3">
      <c r="S8232" s="6"/>
    </row>
    <row r="8233" spans="19:19" x14ac:dyDescent="0.3">
      <c r="S8233" s="6"/>
    </row>
    <row r="8234" spans="19:19" x14ac:dyDescent="0.3">
      <c r="S8234" s="6"/>
    </row>
    <row r="8235" spans="19:19" x14ac:dyDescent="0.3">
      <c r="S8235" s="6"/>
    </row>
    <row r="8236" spans="19:19" x14ac:dyDescent="0.3">
      <c r="S8236" s="6"/>
    </row>
    <row r="8237" spans="19:19" x14ac:dyDescent="0.3">
      <c r="S8237" s="6"/>
    </row>
    <row r="8238" spans="19:19" x14ac:dyDescent="0.3">
      <c r="S8238" s="6"/>
    </row>
    <row r="8239" spans="19:19" x14ac:dyDescent="0.3">
      <c r="S8239" s="6"/>
    </row>
    <row r="8240" spans="19:19" x14ac:dyDescent="0.3">
      <c r="S8240" s="6"/>
    </row>
    <row r="8241" spans="19:19" x14ac:dyDescent="0.3">
      <c r="S8241" s="6"/>
    </row>
    <row r="8242" spans="19:19" x14ac:dyDescent="0.3">
      <c r="S8242" s="6"/>
    </row>
    <row r="8243" spans="19:19" x14ac:dyDescent="0.3">
      <c r="S8243" s="6"/>
    </row>
    <row r="8244" spans="19:19" x14ac:dyDescent="0.3">
      <c r="S8244" s="6"/>
    </row>
    <row r="8245" spans="19:19" x14ac:dyDescent="0.3">
      <c r="S8245" s="6"/>
    </row>
    <row r="8246" spans="19:19" x14ac:dyDescent="0.3">
      <c r="S8246" s="6"/>
    </row>
    <row r="8247" spans="19:19" x14ac:dyDescent="0.3">
      <c r="S8247" s="6"/>
    </row>
    <row r="8248" spans="19:19" x14ac:dyDescent="0.3">
      <c r="S8248" s="6"/>
    </row>
    <row r="8249" spans="19:19" x14ac:dyDescent="0.3">
      <c r="S8249" s="6"/>
    </row>
    <row r="8250" spans="19:19" x14ac:dyDescent="0.3">
      <c r="S8250" s="6"/>
    </row>
    <row r="8251" spans="19:19" x14ac:dyDescent="0.3">
      <c r="S8251" s="6"/>
    </row>
    <row r="8252" spans="19:19" x14ac:dyDescent="0.3">
      <c r="S8252" s="6"/>
    </row>
    <row r="8253" spans="19:19" x14ac:dyDescent="0.3">
      <c r="S8253" s="6"/>
    </row>
    <row r="8254" spans="19:19" x14ac:dyDescent="0.3">
      <c r="S8254" s="6"/>
    </row>
    <row r="8255" spans="19:19" x14ac:dyDescent="0.3">
      <c r="S8255" s="6"/>
    </row>
    <row r="8256" spans="19:19" x14ac:dyDescent="0.3">
      <c r="S8256" s="6"/>
    </row>
    <row r="8257" spans="19:19" x14ac:dyDescent="0.3">
      <c r="S8257" s="6"/>
    </row>
    <row r="8258" spans="19:19" x14ac:dyDescent="0.3">
      <c r="S8258" s="6"/>
    </row>
    <row r="8259" spans="19:19" x14ac:dyDescent="0.3">
      <c r="S8259" s="6"/>
    </row>
    <row r="8260" spans="19:19" x14ac:dyDescent="0.3">
      <c r="S8260" s="6"/>
    </row>
    <row r="8261" spans="19:19" x14ac:dyDescent="0.3">
      <c r="S8261" s="6"/>
    </row>
    <row r="8262" spans="19:19" x14ac:dyDescent="0.3">
      <c r="S8262" s="6"/>
    </row>
    <row r="8263" spans="19:19" x14ac:dyDescent="0.3">
      <c r="S8263" s="6"/>
    </row>
    <row r="8264" spans="19:19" x14ac:dyDescent="0.3">
      <c r="S8264" s="6"/>
    </row>
    <row r="8265" spans="19:19" x14ac:dyDescent="0.3">
      <c r="S8265" s="6"/>
    </row>
    <row r="8266" spans="19:19" x14ac:dyDescent="0.3">
      <c r="S8266" s="6"/>
    </row>
    <row r="8267" spans="19:19" x14ac:dyDescent="0.3">
      <c r="S8267" s="6"/>
    </row>
    <row r="8268" spans="19:19" x14ac:dyDescent="0.3">
      <c r="S8268" s="6"/>
    </row>
    <row r="8269" spans="19:19" x14ac:dyDescent="0.3">
      <c r="S8269" s="6"/>
    </row>
    <row r="8270" spans="19:19" x14ac:dyDescent="0.3">
      <c r="S8270" s="6"/>
    </row>
    <row r="8271" spans="19:19" x14ac:dyDescent="0.3">
      <c r="S8271" s="6"/>
    </row>
    <row r="8272" spans="19:19" x14ac:dyDescent="0.3">
      <c r="S8272" s="6"/>
    </row>
    <row r="8273" spans="19:19" x14ac:dyDescent="0.3">
      <c r="S8273" s="6"/>
    </row>
    <row r="8274" spans="19:19" x14ac:dyDescent="0.3">
      <c r="S8274" s="6"/>
    </row>
    <row r="8275" spans="19:19" x14ac:dyDescent="0.3">
      <c r="S8275" s="6"/>
    </row>
    <row r="8276" spans="19:19" x14ac:dyDescent="0.3">
      <c r="S8276" s="6"/>
    </row>
    <row r="8277" spans="19:19" x14ac:dyDescent="0.3">
      <c r="S8277" s="6"/>
    </row>
    <row r="8278" spans="19:19" x14ac:dyDescent="0.3">
      <c r="S8278" s="6"/>
    </row>
    <row r="8279" spans="19:19" x14ac:dyDescent="0.3">
      <c r="S8279" s="6"/>
    </row>
    <row r="8280" spans="19:19" x14ac:dyDescent="0.3">
      <c r="S8280" s="6"/>
    </row>
    <row r="8281" spans="19:19" x14ac:dyDescent="0.3">
      <c r="S8281" s="6"/>
    </row>
    <row r="8282" spans="19:19" x14ac:dyDescent="0.3">
      <c r="S8282" s="6"/>
    </row>
    <row r="8283" spans="19:19" x14ac:dyDescent="0.3">
      <c r="S8283" s="6"/>
    </row>
    <row r="8284" spans="19:19" x14ac:dyDescent="0.3">
      <c r="S8284" s="6"/>
    </row>
    <row r="8285" spans="19:19" x14ac:dyDescent="0.3">
      <c r="S8285" s="6"/>
    </row>
    <row r="8286" spans="19:19" x14ac:dyDescent="0.3">
      <c r="S8286" s="6"/>
    </row>
    <row r="8287" spans="19:19" x14ac:dyDescent="0.3">
      <c r="S8287" s="6"/>
    </row>
    <row r="8288" spans="19:19" x14ac:dyDescent="0.3">
      <c r="S8288" s="6"/>
    </row>
    <row r="8289" spans="19:19" x14ac:dyDescent="0.3">
      <c r="S8289" s="6"/>
    </row>
    <row r="8290" spans="19:19" x14ac:dyDescent="0.3">
      <c r="S8290" s="6"/>
    </row>
    <row r="8291" spans="19:19" x14ac:dyDescent="0.3">
      <c r="S8291" s="6"/>
    </row>
    <row r="8292" spans="19:19" x14ac:dyDescent="0.3">
      <c r="S8292" s="6"/>
    </row>
    <row r="8293" spans="19:19" x14ac:dyDescent="0.3">
      <c r="S8293" s="6"/>
    </row>
    <row r="8294" spans="19:19" x14ac:dyDescent="0.3">
      <c r="S8294" s="6"/>
    </row>
    <row r="8295" spans="19:19" x14ac:dyDescent="0.3">
      <c r="S8295" s="6"/>
    </row>
    <row r="8296" spans="19:19" x14ac:dyDescent="0.3">
      <c r="S8296" s="6"/>
    </row>
    <row r="8297" spans="19:19" x14ac:dyDescent="0.3">
      <c r="S8297" s="6"/>
    </row>
    <row r="8298" spans="19:19" x14ac:dyDescent="0.3">
      <c r="S8298" s="6"/>
    </row>
    <row r="8299" spans="19:19" x14ac:dyDescent="0.3">
      <c r="S8299" s="6"/>
    </row>
    <row r="8300" spans="19:19" x14ac:dyDescent="0.3">
      <c r="S8300" s="6"/>
    </row>
    <row r="8301" spans="19:19" x14ac:dyDescent="0.3">
      <c r="S8301" s="6"/>
    </row>
    <row r="8302" spans="19:19" x14ac:dyDescent="0.3">
      <c r="S8302" s="6"/>
    </row>
    <row r="8303" spans="19:19" x14ac:dyDescent="0.3">
      <c r="S8303" s="6"/>
    </row>
    <row r="8304" spans="19:19" x14ac:dyDescent="0.3">
      <c r="S8304" s="6"/>
    </row>
    <row r="8305" spans="19:19" x14ac:dyDescent="0.3">
      <c r="S8305" s="6"/>
    </row>
    <row r="8306" spans="19:19" x14ac:dyDescent="0.3">
      <c r="S8306" s="6"/>
    </row>
    <row r="8307" spans="19:19" x14ac:dyDescent="0.3">
      <c r="S8307" s="6"/>
    </row>
    <row r="8308" spans="19:19" x14ac:dyDescent="0.3">
      <c r="S8308" s="6"/>
    </row>
    <row r="8309" spans="19:19" x14ac:dyDescent="0.3">
      <c r="S8309" s="6"/>
    </row>
    <row r="8310" spans="19:19" x14ac:dyDescent="0.3">
      <c r="S8310" s="6"/>
    </row>
    <row r="8311" spans="19:19" x14ac:dyDescent="0.3">
      <c r="S8311" s="6"/>
    </row>
    <row r="8312" spans="19:19" x14ac:dyDescent="0.3">
      <c r="S8312" s="6"/>
    </row>
    <row r="8313" spans="19:19" x14ac:dyDescent="0.3">
      <c r="S8313" s="6"/>
    </row>
    <row r="8314" spans="19:19" x14ac:dyDescent="0.3">
      <c r="S8314" s="6"/>
    </row>
    <row r="8315" spans="19:19" x14ac:dyDescent="0.3">
      <c r="S8315" s="6"/>
    </row>
    <row r="8316" spans="19:19" x14ac:dyDescent="0.3">
      <c r="S8316" s="6"/>
    </row>
    <row r="8317" spans="19:19" x14ac:dyDescent="0.3">
      <c r="S8317" s="6"/>
    </row>
    <row r="8318" spans="19:19" x14ac:dyDescent="0.3">
      <c r="S8318" s="6"/>
    </row>
    <row r="8319" spans="19:19" x14ac:dyDescent="0.3">
      <c r="S8319" s="6"/>
    </row>
    <row r="8320" spans="19:19" x14ac:dyDescent="0.3">
      <c r="S8320" s="6"/>
    </row>
    <row r="8321" spans="19:19" x14ac:dyDescent="0.3">
      <c r="S8321" s="6"/>
    </row>
    <row r="8322" spans="19:19" x14ac:dyDescent="0.3">
      <c r="S8322" s="6"/>
    </row>
    <row r="8323" spans="19:19" x14ac:dyDescent="0.3">
      <c r="S8323" s="6"/>
    </row>
    <row r="8324" spans="19:19" x14ac:dyDescent="0.3">
      <c r="S8324" s="6"/>
    </row>
    <row r="8325" spans="19:19" x14ac:dyDescent="0.3">
      <c r="S8325" s="6"/>
    </row>
    <row r="8326" spans="19:19" x14ac:dyDescent="0.3">
      <c r="S8326" s="6"/>
    </row>
    <row r="8327" spans="19:19" x14ac:dyDescent="0.3">
      <c r="S8327" s="6"/>
    </row>
    <row r="8328" spans="19:19" x14ac:dyDescent="0.3">
      <c r="S8328" s="6"/>
    </row>
    <row r="8329" spans="19:19" x14ac:dyDescent="0.3">
      <c r="S8329" s="6"/>
    </row>
    <row r="8330" spans="19:19" x14ac:dyDescent="0.3">
      <c r="S8330" s="6"/>
    </row>
    <row r="8331" spans="19:19" x14ac:dyDescent="0.3">
      <c r="S8331" s="6"/>
    </row>
    <row r="8332" spans="19:19" x14ac:dyDescent="0.3">
      <c r="S8332" s="6"/>
    </row>
    <row r="8333" spans="19:19" x14ac:dyDescent="0.3">
      <c r="S8333" s="6"/>
    </row>
    <row r="8334" spans="19:19" x14ac:dyDescent="0.3">
      <c r="S8334" s="6"/>
    </row>
    <row r="8335" spans="19:19" x14ac:dyDescent="0.3">
      <c r="S8335" s="6"/>
    </row>
    <row r="8336" spans="19:19" x14ac:dyDescent="0.3">
      <c r="S8336" s="6"/>
    </row>
    <row r="8337" spans="19:19" x14ac:dyDescent="0.3">
      <c r="S8337" s="6"/>
    </row>
    <row r="8338" spans="19:19" x14ac:dyDescent="0.3">
      <c r="S8338" s="6"/>
    </row>
    <row r="8339" spans="19:19" x14ac:dyDescent="0.3">
      <c r="S8339" s="6"/>
    </row>
    <row r="8340" spans="19:19" x14ac:dyDescent="0.3">
      <c r="S8340" s="6"/>
    </row>
    <row r="8341" spans="19:19" x14ac:dyDescent="0.3">
      <c r="S8341" s="6"/>
    </row>
    <row r="8342" spans="19:19" x14ac:dyDescent="0.3">
      <c r="S8342" s="6"/>
    </row>
    <row r="8343" spans="19:19" x14ac:dyDescent="0.3">
      <c r="S8343" s="6"/>
    </row>
    <row r="8344" spans="19:19" x14ac:dyDescent="0.3">
      <c r="S8344" s="6"/>
    </row>
    <row r="8345" spans="19:19" x14ac:dyDescent="0.3">
      <c r="S8345" s="6"/>
    </row>
    <row r="8346" spans="19:19" x14ac:dyDescent="0.3">
      <c r="S8346" s="6"/>
    </row>
    <row r="8347" spans="19:19" x14ac:dyDescent="0.3">
      <c r="S8347" s="6"/>
    </row>
    <row r="8348" spans="19:19" x14ac:dyDescent="0.3">
      <c r="S8348" s="6"/>
    </row>
    <row r="8349" spans="19:19" x14ac:dyDescent="0.3">
      <c r="S8349" s="6"/>
    </row>
    <row r="8350" spans="19:19" x14ac:dyDescent="0.3">
      <c r="S8350" s="6"/>
    </row>
    <row r="8351" spans="19:19" x14ac:dyDescent="0.3">
      <c r="S8351" s="6"/>
    </row>
    <row r="8352" spans="19:19" x14ac:dyDescent="0.3">
      <c r="S8352" s="6"/>
    </row>
    <row r="8353" spans="19:19" x14ac:dyDescent="0.3">
      <c r="S8353" s="6"/>
    </row>
    <row r="8354" spans="19:19" x14ac:dyDescent="0.3">
      <c r="S8354" s="6"/>
    </row>
    <row r="8355" spans="19:19" x14ac:dyDescent="0.3">
      <c r="S8355" s="6"/>
    </row>
    <row r="8356" spans="19:19" x14ac:dyDescent="0.3">
      <c r="S8356" s="6"/>
    </row>
    <row r="8357" spans="19:19" x14ac:dyDescent="0.3">
      <c r="S8357" s="6"/>
    </row>
    <row r="8358" spans="19:19" x14ac:dyDescent="0.3">
      <c r="S8358" s="6"/>
    </row>
    <row r="8359" spans="19:19" x14ac:dyDescent="0.3">
      <c r="S8359" s="6"/>
    </row>
    <row r="8360" spans="19:19" x14ac:dyDescent="0.3">
      <c r="S8360" s="6"/>
    </row>
    <row r="8361" spans="19:19" x14ac:dyDescent="0.3">
      <c r="S8361" s="6"/>
    </row>
    <row r="8362" spans="19:19" x14ac:dyDescent="0.3">
      <c r="S8362" s="6"/>
    </row>
    <row r="8363" spans="19:19" x14ac:dyDescent="0.3">
      <c r="S8363" s="6"/>
    </row>
    <row r="8364" spans="19:19" x14ac:dyDescent="0.3">
      <c r="S8364" s="6"/>
    </row>
    <row r="8365" spans="19:19" x14ac:dyDescent="0.3">
      <c r="S8365" s="6"/>
    </row>
    <row r="8366" spans="19:19" x14ac:dyDescent="0.3">
      <c r="S8366" s="6"/>
    </row>
    <row r="8367" spans="19:19" x14ac:dyDescent="0.3">
      <c r="S8367" s="6"/>
    </row>
    <row r="8368" spans="19:19" x14ac:dyDescent="0.3">
      <c r="S8368" s="6"/>
    </row>
    <row r="8369" spans="19:19" x14ac:dyDescent="0.3">
      <c r="S8369" s="6"/>
    </row>
    <row r="8370" spans="19:19" x14ac:dyDescent="0.3">
      <c r="S8370" s="6"/>
    </row>
    <row r="8371" spans="19:19" x14ac:dyDescent="0.3">
      <c r="S8371" s="6"/>
    </row>
    <row r="8372" spans="19:19" x14ac:dyDescent="0.3">
      <c r="S8372" s="6"/>
    </row>
    <row r="8373" spans="19:19" x14ac:dyDescent="0.3">
      <c r="S8373" s="6"/>
    </row>
    <row r="8374" spans="19:19" x14ac:dyDescent="0.3">
      <c r="S8374" s="6"/>
    </row>
    <row r="8375" spans="19:19" x14ac:dyDescent="0.3">
      <c r="S8375" s="6"/>
    </row>
    <row r="8376" spans="19:19" x14ac:dyDescent="0.3">
      <c r="S8376" s="6"/>
    </row>
    <row r="8377" spans="19:19" x14ac:dyDescent="0.3">
      <c r="S8377" s="6"/>
    </row>
    <row r="8378" spans="19:19" x14ac:dyDescent="0.3">
      <c r="S8378" s="6"/>
    </row>
    <row r="8379" spans="19:19" x14ac:dyDescent="0.3">
      <c r="S8379" s="6"/>
    </row>
    <row r="8380" spans="19:19" x14ac:dyDescent="0.3">
      <c r="S8380" s="6"/>
    </row>
    <row r="8381" spans="19:19" x14ac:dyDescent="0.3">
      <c r="S8381" s="6"/>
    </row>
    <row r="8382" spans="19:19" x14ac:dyDescent="0.3">
      <c r="S8382" s="6"/>
    </row>
    <row r="8383" spans="19:19" x14ac:dyDescent="0.3">
      <c r="S8383" s="6"/>
    </row>
    <row r="8384" spans="19:19" x14ac:dyDescent="0.3">
      <c r="S8384" s="6"/>
    </row>
    <row r="8385" spans="19:19" x14ac:dyDescent="0.3">
      <c r="S8385" s="6"/>
    </row>
    <row r="8386" spans="19:19" x14ac:dyDescent="0.3">
      <c r="S8386" s="6"/>
    </row>
    <row r="8387" spans="19:19" x14ac:dyDescent="0.3">
      <c r="S8387" s="6"/>
    </row>
    <row r="8388" spans="19:19" x14ac:dyDescent="0.3">
      <c r="S8388" s="6"/>
    </row>
    <row r="8389" spans="19:19" x14ac:dyDescent="0.3">
      <c r="S8389" s="6"/>
    </row>
    <row r="8390" spans="19:19" x14ac:dyDescent="0.3">
      <c r="S8390" s="6"/>
    </row>
    <row r="8391" spans="19:19" x14ac:dyDescent="0.3">
      <c r="S8391" s="6"/>
    </row>
    <row r="8392" spans="19:19" x14ac:dyDescent="0.3">
      <c r="S8392" s="6"/>
    </row>
    <row r="8393" spans="19:19" x14ac:dyDescent="0.3">
      <c r="S8393" s="6"/>
    </row>
    <row r="8394" spans="19:19" x14ac:dyDescent="0.3">
      <c r="S8394" s="6"/>
    </row>
    <row r="8395" spans="19:19" x14ac:dyDescent="0.3">
      <c r="S8395" s="6"/>
    </row>
    <row r="8396" spans="19:19" x14ac:dyDescent="0.3">
      <c r="S8396" s="6"/>
    </row>
    <row r="8397" spans="19:19" x14ac:dyDescent="0.3">
      <c r="S8397" s="6"/>
    </row>
    <row r="8398" spans="19:19" x14ac:dyDescent="0.3">
      <c r="S8398" s="6"/>
    </row>
    <row r="8399" spans="19:19" x14ac:dyDescent="0.3">
      <c r="S8399" s="6"/>
    </row>
    <row r="8400" spans="19:19" x14ac:dyDescent="0.3">
      <c r="S8400" s="6"/>
    </row>
    <row r="8401" spans="19:19" x14ac:dyDescent="0.3">
      <c r="S8401" s="6"/>
    </row>
    <row r="8402" spans="19:19" x14ac:dyDescent="0.3">
      <c r="S8402" s="6"/>
    </row>
    <row r="8403" spans="19:19" x14ac:dyDescent="0.3">
      <c r="S8403" s="6"/>
    </row>
    <row r="8404" spans="19:19" x14ac:dyDescent="0.3">
      <c r="S8404" s="6"/>
    </row>
    <row r="8405" spans="19:19" x14ac:dyDescent="0.3">
      <c r="S8405" s="6"/>
    </row>
    <row r="8406" spans="19:19" x14ac:dyDescent="0.3">
      <c r="S8406" s="6"/>
    </row>
    <row r="8407" spans="19:19" x14ac:dyDescent="0.3">
      <c r="S8407" s="6"/>
    </row>
    <row r="8408" spans="19:19" x14ac:dyDescent="0.3">
      <c r="S8408" s="6"/>
    </row>
    <row r="8409" spans="19:19" x14ac:dyDescent="0.3">
      <c r="S8409" s="6"/>
    </row>
    <row r="8410" spans="19:19" x14ac:dyDescent="0.3">
      <c r="S8410" s="6"/>
    </row>
    <row r="8411" spans="19:19" x14ac:dyDescent="0.3">
      <c r="S8411" s="6"/>
    </row>
    <row r="8412" spans="19:19" x14ac:dyDescent="0.3">
      <c r="S8412" s="6"/>
    </row>
    <row r="8413" spans="19:19" x14ac:dyDescent="0.3">
      <c r="S8413" s="6"/>
    </row>
    <row r="8414" spans="19:19" x14ac:dyDescent="0.3">
      <c r="S8414" s="6"/>
    </row>
    <row r="8415" spans="19:19" x14ac:dyDescent="0.3">
      <c r="S8415" s="6"/>
    </row>
    <row r="8416" spans="19:19" x14ac:dyDescent="0.3">
      <c r="S8416" s="6"/>
    </row>
    <row r="8417" spans="19:19" x14ac:dyDescent="0.3">
      <c r="S8417" s="6"/>
    </row>
    <row r="8418" spans="19:19" x14ac:dyDescent="0.3">
      <c r="S8418" s="6"/>
    </row>
    <row r="8419" spans="19:19" x14ac:dyDescent="0.3">
      <c r="S8419" s="6"/>
    </row>
    <row r="8420" spans="19:19" x14ac:dyDescent="0.3">
      <c r="S8420" s="6"/>
    </row>
    <row r="8421" spans="19:19" x14ac:dyDescent="0.3">
      <c r="S8421" s="6"/>
    </row>
    <row r="8422" spans="19:19" x14ac:dyDescent="0.3">
      <c r="S8422" s="6"/>
    </row>
    <row r="8423" spans="19:19" x14ac:dyDescent="0.3">
      <c r="S8423" s="6"/>
    </row>
    <row r="8424" spans="19:19" x14ac:dyDescent="0.3">
      <c r="S8424" s="6"/>
    </row>
    <row r="8425" spans="19:19" x14ac:dyDescent="0.3">
      <c r="S8425" s="6"/>
    </row>
    <row r="8426" spans="19:19" x14ac:dyDescent="0.3">
      <c r="S8426" s="6"/>
    </row>
    <row r="8427" spans="19:19" x14ac:dyDescent="0.3">
      <c r="S8427" s="6"/>
    </row>
    <row r="8428" spans="19:19" x14ac:dyDescent="0.3">
      <c r="S8428" s="6"/>
    </row>
    <row r="8429" spans="19:19" x14ac:dyDescent="0.3">
      <c r="S8429" s="6"/>
    </row>
    <row r="8430" spans="19:19" x14ac:dyDescent="0.3">
      <c r="S8430" s="6"/>
    </row>
    <row r="8431" spans="19:19" x14ac:dyDescent="0.3">
      <c r="S8431" s="6"/>
    </row>
    <row r="8432" spans="19:19" x14ac:dyDescent="0.3">
      <c r="S8432" s="6"/>
    </row>
    <row r="8433" spans="19:19" x14ac:dyDescent="0.3">
      <c r="S8433" s="6"/>
    </row>
    <row r="8434" spans="19:19" x14ac:dyDescent="0.3">
      <c r="S8434" s="6"/>
    </row>
    <row r="8435" spans="19:19" x14ac:dyDescent="0.3">
      <c r="S8435" s="6"/>
    </row>
    <row r="8436" spans="19:19" x14ac:dyDescent="0.3">
      <c r="S8436" s="6"/>
    </row>
    <row r="8437" spans="19:19" x14ac:dyDescent="0.3">
      <c r="S8437" s="6"/>
    </row>
    <row r="8438" spans="19:19" x14ac:dyDescent="0.3">
      <c r="S8438" s="6"/>
    </row>
    <row r="8439" spans="19:19" x14ac:dyDescent="0.3">
      <c r="S8439" s="6"/>
    </row>
    <row r="8440" spans="19:19" x14ac:dyDescent="0.3">
      <c r="S8440" s="6"/>
    </row>
    <row r="8441" spans="19:19" x14ac:dyDescent="0.3">
      <c r="S8441" s="6"/>
    </row>
    <row r="8442" spans="19:19" x14ac:dyDescent="0.3">
      <c r="S8442" s="6"/>
    </row>
    <row r="8443" spans="19:19" x14ac:dyDescent="0.3">
      <c r="S8443" s="6"/>
    </row>
    <row r="8444" spans="19:19" x14ac:dyDescent="0.3">
      <c r="S8444" s="6"/>
    </row>
    <row r="8445" spans="19:19" x14ac:dyDescent="0.3">
      <c r="S8445" s="6"/>
    </row>
    <row r="8446" spans="19:19" x14ac:dyDescent="0.3">
      <c r="S8446" s="6"/>
    </row>
    <row r="8447" spans="19:19" x14ac:dyDescent="0.3">
      <c r="S8447" s="6"/>
    </row>
    <row r="8448" spans="19:19" x14ac:dyDescent="0.3">
      <c r="S8448" s="6"/>
    </row>
    <row r="8449" spans="19:19" x14ac:dyDescent="0.3">
      <c r="S8449" s="6"/>
    </row>
    <row r="8450" spans="19:19" x14ac:dyDescent="0.3">
      <c r="S8450" s="6"/>
    </row>
    <row r="8451" spans="19:19" x14ac:dyDescent="0.3">
      <c r="S8451" s="6"/>
    </row>
    <row r="8452" spans="19:19" x14ac:dyDescent="0.3">
      <c r="S8452" s="6"/>
    </row>
    <row r="8453" spans="19:19" x14ac:dyDescent="0.3">
      <c r="S8453" s="6"/>
    </row>
    <row r="8454" spans="19:19" x14ac:dyDescent="0.3">
      <c r="S8454" s="6"/>
    </row>
    <row r="8455" spans="19:19" x14ac:dyDescent="0.3">
      <c r="S8455" s="6"/>
    </row>
    <row r="8456" spans="19:19" x14ac:dyDescent="0.3">
      <c r="S8456" s="6"/>
    </row>
    <row r="8457" spans="19:19" x14ac:dyDescent="0.3">
      <c r="S8457" s="6"/>
    </row>
    <row r="8458" spans="19:19" x14ac:dyDescent="0.3">
      <c r="S8458" s="6"/>
    </row>
    <row r="8459" spans="19:19" x14ac:dyDescent="0.3">
      <c r="S8459" s="6"/>
    </row>
    <row r="8460" spans="19:19" x14ac:dyDescent="0.3">
      <c r="S8460" s="6"/>
    </row>
    <row r="8461" spans="19:19" x14ac:dyDescent="0.3">
      <c r="S8461" s="6"/>
    </row>
    <row r="8462" spans="19:19" x14ac:dyDescent="0.3">
      <c r="S8462" s="6"/>
    </row>
    <row r="8463" spans="19:19" x14ac:dyDescent="0.3">
      <c r="S8463" s="6"/>
    </row>
    <row r="8464" spans="19:19" x14ac:dyDescent="0.3">
      <c r="S8464" s="6"/>
    </row>
    <row r="8465" spans="19:19" x14ac:dyDescent="0.3">
      <c r="S8465" s="6"/>
    </row>
    <row r="8466" spans="19:19" x14ac:dyDescent="0.3">
      <c r="S8466" s="6"/>
    </row>
    <row r="8467" spans="19:19" x14ac:dyDescent="0.3">
      <c r="S8467" s="6"/>
    </row>
    <row r="8468" spans="19:19" x14ac:dyDescent="0.3">
      <c r="S8468" s="6"/>
    </row>
    <row r="8469" spans="19:19" x14ac:dyDescent="0.3">
      <c r="S8469" s="6"/>
    </row>
    <row r="8470" spans="19:19" x14ac:dyDescent="0.3">
      <c r="S8470" s="6"/>
    </row>
    <row r="8471" spans="19:19" x14ac:dyDescent="0.3">
      <c r="S8471" s="6"/>
    </row>
    <row r="8472" spans="19:19" x14ac:dyDescent="0.3">
      <c r="S8472" s="6"/>
    </row>
    <row r="8473" spans="19:19" x14ac:dyDescent="0.3">
      <c r="S8473" s="6"/>
    </row>
    <row r="8474" spans="19:19" x14ac:dyDescent="0.3">
      <c r="S8474" s="6"/>
    </row>
    <row r="8475" spans="19:19" x14ac:dyDescent="0.3">
      <c r="S8475" s="6"/>
    </row>
    <row r="8476" spans="19:19" x14ac:dyDescent="0.3">
      <c r="S8476" s="6"/>
    </row>
    <row r="8477" spans="19:19" x14ac:dyDescent="0.3">
      <c r="S8477" s="6"/>
    </row>
    <row r="8478" spans="19:19" x14ac:dyDescent="0.3">
      <c r="S8478" s="6"/>
    </row>
    <row r="8479" spans="19:19" x14ac:dyDescent="0.3">
      <c r="S8479" s="6"/>
    </row>
    <row r="8480" spans="19:19" x14ac:dyDescent="0.3">
      <c r="S8480" s="6"/>
    </row>
    <row r="8481" spans="19:19" x14ac:dyDescent="0.3">
      <c r="S8481" s="6"/>
    </row>
    <row r="8482" spans="19:19" x14ac:dyDescent="0.3">
      <c r="S8482" s="6"/>
    </row>
    <row r="8483" spans="19:19" x14ac:dyDescent="0.3">
      <c r="S8483" s="6"/>
    </row>
    <row r="8484" spans="19:19" x14ac:dyDescent="0.3">
      <c r="S8484" s="6"/>
    </row>
    <row r="8485" spans="19:19" x14ac:dyDescent="0.3">
      <c r="S8485" s="6"/>
    </row>
    <row r="8486" spans="19:19" x14ac:dyDescent="0.3">
      <c r="S8486" s="6"/>
    </row>
    <row r="8487" spans="19:19" x14ac:dyDescent="0.3">
      <c r="S8487" s="6"/>
    </row>
    <row r="8488" spans="19:19" x14ac:dyDescent="0.3">
      <c r="S8488" s="6"/>
    </row>
    <row r="8489" spans="19:19" x14ac:dyDescent="0.3">
      <c r="S8489" s="6"/>
    </row>
    <row r="8490" spans="19:19" x14ac:dyDescent="0.3">
      <c r="S8490" s="6"/>
    </row>
    <row r="8491" spans="19:19" x14ac:dyDescent="0.3">
      <c r="S8491" s="6"/>
    </row>
    <row r="8492" spans="19:19" x14ac:dyDescent="0.3">
      <c r="S8492" s="6"/>
    </row>
    <row r="8493" spans="19:19" x14ac:dyDescent="0.3">
      <c r="S8493" s="6"/>
    </row>
    <row r="8494" spans="19:19" x14ac:dyDescent="0.3">
      <c r="S8494" s="6"/>
    </row>
    <row r="8495" spans="19:19" x14ac:dyDescent="0.3">
      <c r="S8495" s="6"/>
    </row>
    <row r="8496" spans="19:19" x14ac:dyDescent="0.3">
      <c r="S8496" s="6"/>
    </row>
    <row r="8497" spans="19:19" x14ac:dyDescent="0.3">
      <c r="S8497" s="6"/>
    </row>
    <row r="8498" spans="19:19" x14ac:dyDescent="0.3">
      <c r="S8498" s="6"/>
    </row>
    <row r="8499" spans="19:19" x14ac:dyDescent="0.3">
      <c r="S8499" s="6"/>
    </row>
    <row r="8500" spans="19:19" x14ac:dyDescent="0.3">
      <c r="S8500" s="6"/>
    </row>
    <row r="8501" spans="19:19" x14ac:dyDescent="0.3">
      <c r="S8501" s="6"/>
    </row>
    <row r="8502" spans="19:19" x14ac:dyDescent="0.3">
      <c r="S8502" s="6"/>
    </row>
    <row r="8503" spans="19:19" x14ac:dyDescent="0.3">
      <c r="S8503" s="6"/>
    </row>
    <row r="8504" spans="19:19" x14ac:dyDescent="0.3">
      <c r="S8504" s="6"/>
    </row>
    <row r="8505" spans="19:19" x14ac:dyDescent="0.3">
      <c r="S8505" s="6"/>
    </row>
    <row r="8506" spans="19:19" x14ac:dyDescent="0.3">
      <c r="S8506" s="6"/>
    </row>
    <row r="8507" spans="19:19" x14ac:dyDescent="0.3">
      <c r="S8507" s="6"/>
    </row>
    <row r="8508" spans="19:19" x14ac:dyDescent="0.3">
      <c r="S8508" s="6"/>
    </row>
    <row r="8509" spans="19:19" x14ac:dyDescent="0.3">
      <c r="S8509" s="6"/>
    </row>
    <row r="8510" spans="19:19" x14ac:dyDescent="0.3">
      <c r="S8510" s="6"/>
    </row>
    <row r="8511" spans="19:19" x14ac:dyDescent="0.3">
      <c r="S8511" s="6"/>
    </row>
    <row r="8512" spans="19:19" x14ac:dyDescent="0.3">
      <c r="S8512" s="6"/>
    </row>
    <row r="8513" spans="19:19" x14ac:dyDescent="0.3">
      <c r="S8513" s="6"/>
    </row>
    <row r="8514" spans="19:19" x14ac:dyDescent="0.3">
      <c r="S8514" s="6"/>
    </row>
    <row r="8515" spans="19:19" x14ac:dyDescent="0.3">
      <c r="S8515" s="6"/>
    </row>
    <row r="8516" spans="19:19" x14ac:dyDescent="0.3">
      <c r="S8516" s="6"/>
    </row>
    <row r="8517" spans="19:19" x14ac:dyDescent="0.3">
      <c r="S8517" s="6"/>
    </row>
    <row r="8518" spans="19:19" x14ac:dyDescent="0.3">
      <c r="S8518" s="6"/>
    </row>
    <row r="8519" spans="19:19" x14ac:dyDescent="0.3">
      <c r="S8519" s="6"/>
    </row>
    <row r="8520" spans="19:19" x14ac:dyDescent="0.3">
      <c r="S8520" s="6"/>
    </row>
    <row r="8521" spans="19:19" x14ac:dyDescent="0.3">
      <c r="S8521" s="6"/>
    </row>
    <row r="8522" spans="19:19" x14ac:dyDescent="0.3">
      <c r="S8522" s="6"/>
    </row>
    <row r="8523" spans="19:19" x14ac:dyDescent="0.3">
      <c r="S8523" s="6"/>
    </row>
    <row r="8524" spans="19:19" x14ac:dyDescent="0.3">
      <c r="S8524" s="6"/>
    </row>
    <row r="8525" spans="19:19" x14ac:dyDescent="0.3">
      <c r="S8525" s="6"/>
    </row>
    <row r="8526" spans="19:19" x14ac:dyDescent="0.3">
      <c r="S8526" s="6"/>
    </row>
    <row r="8527" spans="19:19" x14ac:dyDescent="0.3">
      <c r="S8527" s="6"/>
    </row>
    <row r="8528" spans="19:19" x14ac:dyDescent="0.3">
      <c r="S8528" s="6"/>
    </row>
    <row r="8529" spans="19:19" x14ac:dyDescent="0.3">
      <c r="S8529" s="6"/>
    </row>
    <row r="8530" spans="19:19" x14ac:dyDescent="0.3">
      <c r="S8530" s="6"/>
    </row>
    <row r="8531" spans="19:19" x14ac:dyDescent="0.3">
      <c r="S8531" s="6"/>
    </row>
    <row r="8532" spans="19:19" x14ac:dyDescent="0.3">
      <c r="S8532" s="6"/>
    </row>
    <row r="8533" spans="19:19" x14ac:dyDescent="0.3">
      <c r="S8533" s="6"/>
    </row>
    <row r="8534" spans="19:19" x14ac:dyDescent="0.3">
      <c r="S8534" s="6"/>
    </row>
    <row r="8535" spans="19:19" x14ac:dyDescent="0.3">
      <c r="S8535" s="6"/>
    </row>
    <row r="8536" spans="19:19" x14ac:dyDescent="0.3">
      <c r="S8536" s="6"/>
    </row>
    <row r="8537" spans="19:19" x14ac:dyDescent="0.3">
      <c r="S8537" s="6"/>
    </row>
    <row r="8538" spans="19:19" x14ac:dyDescent="0.3">
      <c r="S8538" s="6"/>
    </row>
    <row r="8539" spans="19:19" x14ac:dyDescent="0.3">
      <c r="S8539" s="6"/>
    </row>
    <row r="8540" spans="19:19" x14ac:dyDescent="0.3">
      <c r="S8540" s="6"/>
    </row>
    <row r="8541" spans="19:19" x14ac:dyDescent="0.3">
      <c r="S8541" s="6"/>
    </row>
    <row r="8542" spans="19:19" x14ac:dyDescent="0.3">
      <c r="S8542" s="6"/>
    </row>
    <row r="8543" spans="19:19" x14ac:dyDescent="0.3">
      <c r="S8543" s="6"/>
    </row>
    <row r="8544" spans="19:19" x14ac:dyDescent="0.3">
      <c r="S8544" s="6"/>
    </row>
    <row r="8545" spans="19:19" x14ac:dyDescent="0.3">
      <c r="S8545" s="6"/>
    </row>
    <row r="8546" spans="19:19" x14ac:dyDescent="0.3">
      <c r="S8546" s="6"/>
    </row>
    <row r="8547" spans="19:19" x14ac:dyDescent="0.3">
      <c r="S8547" s="6"/>
    </row>
    <row r="8548" spans="19:19" x14ac:dyDescent="0.3">
      <c r="S8548" s="6"/>
    </row>
    <row r="8549" spans="19:19" x14ac:dyDescent="0.3">
      <c r="S8549" s="6"/>
    </row>
    <row r="8550" spans="19:19" x14ac:dyDescent="0.3">
      <c r="S8550" s="6"/>
    </row>
    <row r="8551" spans="19:19" x14ac:dyDescent="0.3">
      <c r="S8551" s="6"/>
    </row>
    <row r="8552" spans="19:19" x14ac:dyDescent="0.3">
      <c r="S8552" s="6"/>
    </row>
    <row r="8553" spans="19:19" x14ac:dyDescent="0.3">
      <c r="S8553" s="6"/>
    </row>
    <row r="8554" spans="19:19" x14ac:dyDescent="0.3">
      <c r="S8554" s="6"/>
    </row>
    <row r="8555" spans="19:19" x14ac:dyDescent="0.3">
      <c r="S8555" s="6"/>
    </row>
    <row r="8556" spans="19:19" x14ac:dyDescent="0.3">
      <c r="S8556" s="6"/>
    </row>
    <row r="8557" spans="19:19" x14ac:dyDescent="0.3">
      <c r="S8557" s="6"/>
    </row>
    <row r="8558" spans="19:19" x14ac:dyDescent="0.3">
      <c r="S8558" s="6"/>
    </row>
    <row r="8559" spans="19:19" x14ac:dyDescent="0.3">
      <c r="S8559" s="6"/>
    </row>
    <row r="8560" spans="19:19" x14ac:dyDescent="0.3">
      <c r="S8560" s="6"/>
    </row>
    <row r="8561" spans="19:19" x14ac:dyDescent="0.3">
      <c r="S8561" s="6"/>
    </row>
    <row r="8562" spans="19:19" x14ac:dyDescent="0.3">
      <c r="S8562" s="6"/>
    </row>
    <row r="8563" spans="19:19" x14ac:dyDescent="0.3">
      <c r="S8563" s="6"/>
    </row>
    <row r="8564" spans="19:19" x14ac:dyDescent="0.3">
      <c r="S8564" s="6"/>
    </row>
    <row r="8565" spans="19:19" x14ac:dyDescent="0.3">
      <c r="S8565" s="6"/>
    </row>
    <row r="8566" spans="19:19" x14ac:dyDescent="0.3">
      <c r="S8566" s="6"/>
    </row>
    <row r="8567" spans="19:19" x14ac:dyDescent="0.3">
      <c r="S8567" s="6"/>
    </row>
    <row r="8568" spans="19:19" x14ac:dyDescent="0.3">
      <c r="S8568" s="6"/>
    </row>
    <row r="8569" spans="19:19" x14ac:dyDescent="0.3">
      <c r="S8569" s="6"/>
    </row>
    <row r="8570" spans="19:19" x14ac:dyDescent="0.3">
      <c r="S8570" s="6"/>
    </row>
    <row r="8571" spans="19:19" x14ac:dyDescent="0.3">
      <c r="S8571" s="6"/>
    </row>
    <row r="8572" spans="19:19" x14ac:dyDescent="0.3">
      <c r="S8572" s="6"/>
    </row>
    <row r="8573" spans="19:19" x14ac:dyDescent="0.3">
      <c r="S8573" s="6"/>
    </row>
    <row r="8574" spans="19:19" x14ac:dyDescent="0.3">
      <c r="S8574" s="6"/>
    </row>
    <row r="8575" spans="19:19" x14ac:dyDescent="0.3">
      <c r="S8575" s="6"/>
    </row>
    <row r="8576" spans="19:19" x14ac:dyDescent="0.3">
      <c r="S8576" s="6"/>
    </row>
    <row r="8577" spans="19:19" x14ac:dyDescent="0.3">
      <c r="S8577" s="6"/>
    </row>
    <row r="8578" spans="19:19" x14ac:dyDescent="0.3">
      <c r="S8578" s="6"/>
    </row>
    <row r="8579" spans="19:19" x14ac:dyDescent="0.3">
      <c r="S8579" s="6"/>
    </row>
    <row r="8580" spans="19:19" x14ac:dyDescent="0.3">
      <c r="S8580" s="6"/>
    </row>
    <row r="8581" spans="19:19" x14ac:dyDescent="0.3">
      <c r="S8581" s="6"/>
    </row>
    <row r="8582" spans="19:19" x14ac:dyDescent="0.3">
      <c r="S8582" s="6"/>
    </row>
    <row r="8583" spans="19:19" x14ac:dyDescent="0.3">
      <c r="S8583" s="6"/>
    </row>
    <row r="8584" spans="19:19" x14ac:dyDescent="0.3">
      <c r="S8584" s="6"/>
    </row>
    <row r="8585" spans="19:19" x14ac:dyDescent="0.3">
      <c r="S8585" s="6"/>
    </row>
    <row r="8586" spans="19:19" x14ac:dyDescent="0.3">
      <c r="S8586" s="6"/>
    </row>
    <row r="8587" spans="19:19" x14ac:dyDescent="0.3">
      <c r="S8587" s="6"/>
    </row>
    <row r="8588" spans="19:19" x14ac:dyDescent="0.3">
      <c r="S8588" s="6"/>
    </row>
    <row r="8589" spans="19:19" x14ac:dyDescent="0.3">
      <c r="S8589" s="6"/>
    </row>
    <row r="8590" spans="19:19" x14ac:dyDescent="0.3">
      <c r="S8590" s="6"/>
    </row>
    <row r="8591" spans="19:19" x14ac:dyDescent="0.3">
      <c r="S8591" s="6"/>
    </row>
    <row r="8592" spans="19:19" x14ac:dyDescent="0.3">
      <c r="S8592" s="6"/>
    </row>
    <row r="8593" spans="19:19" x14ac:dyDescent="0.3">
      <c r="S8593" s="6"/>
    </row>
    <row r="8594" spans="19:19" x14ac:dyDescent="0.3">
      <c r="S8594" s="6"/>
    </row>
    <row r="8595" spans="19:19" x14ac:dyDescent="0.3">
      <c r="S8595" s="6"/>
    </row>
    <row r="8596" spans="19:19" x14ac:dyDescent="0.3">
      <c r="S8596" s="6"/>
    </row>
    <row r="8597" spans="19:19" x14ac:dyDescent="0.3">
      <c r="S8597" s="6"/>
    </row>
    <row r="8598" spans="19:19" x14ac:dyDescent="0.3">
      <c r="S8598" s="6"/>
    </row>
    <row r="8599" spans="19:19" x14ac:dyDescent="0.3">
      <c r="S8599" s="6"/>
    </row>
    <row r="8600" spans="19:19" x14ac:dyDescent="0.3">
      <c r="S8600" s="6"/>
    </row>
    <row r="8601" spans="19:19" x14ac:dyDescent="0.3">
      <c r="S8601" s="6"/>
    </row>
    <row r="8602" spans="19:19" x14ac:dyDescent="0.3">
      <c r="S8602" s="6"/>
    </row>
    <row r="8603" spans="19:19" x14ac:dyDescent="0.3">
      <c r="S8603" s="6"/>
    </row>
    <row r="8604" spans="19:19" x14ac:dyDescent="0.3">
      <c r="S8604" s="6"/>
    </row>
    <row r="8605" spans="19:19" x14ac:dyDescent="0.3">
      <c r="S8605" s="6"/>
    </row>
    <row r="8606" spans="19:19" x14ac:dyDescent="0.3">
      <c r="S8606" s="6"/>
    </row>
    <row r="8607" spans="19:19" x14ac:dyDescent="0.3">
      <c r="S8607" s="6"/>
    </row>
    <row r="8608" spans="19:19" x14ac:dyDescent="0.3">
      <c r="S8608" s="6"/>
    </row>
    <row r="8609" spans="19:19" x14ac:dyDescent="0.3">
      <c r="S8609" s="6"/>
    </row>
    <row r="8610" spans="19:19" x14ac:dyDescent="0.3">
      <c r="S8610" s="6"/>
    </row>
    <row r="8611" spans="19:19" x14ac:dyDescent="0.3">
      <c r="S8611" s="6"/>
    </row>
    <row r="8612" spans="19:19" x14ac:dyDescent="0.3">
      <c r="S8612" s="6"/>
    </row>
    <row r="8613" spans="19:19" x14ac:dyDescent="0.3">
      <c r="S8613" s="6"/>
    </row>
    <row r="8614" spans="19:19" x14ac:dyDescent="0.3">
      <c r="S8614" s="6"/>
    </row>
    <row r="8615" spans="19:19" x14ac:dyDescent="0.3">
      <c r="S8615" s="6"/>
    </row>
    <row r="8616" spans="19:19" x14ac:dyDescent="0.3">
      <c r="S8616" s="6"/>
    </row>
    <row r="8617" spans="19:19" x14ac:dyDescent="0.3">
      <c r="S8617" s="6"/>
    </row>
    <row r="8618" spans="19:19" x14ac:dyDescent="0.3">
      <c r="S8618" s="6"/>
    </row>
    <row r="8619" spans="19:19" x14ac:dyDescent="0.3">
      <c r="S8619" s="6"/>
    </row>
    <row r="8620" spans="19:19" x14ac:dyDescent="0.3">
      <c r="S8620" s="6"/>
    </row>
    <row r="8621" spans="19:19" x14ac:dyDescent="0.3">
      <c r="S8621" s="6"/>
    </row>
    <row r="8622" spans="19:19" x14ac:dyDescent="0.3">
      <c r="S8622" s="6"/>
    </row>
    <row r="8623" spans="19:19" x14ac:dyDescent="0.3">
      <c r="S8623" s="6"/>
    </row>
    <row r="8624" spans="19:19" x14ac:dyDescent="0.3">
      <c r="S8624" s="6"/>
    </row>
    <row r="8625" spans="19:19" x14ac:dyDescent="0.3">
      <c r="S8625" s="6"/>
    </row>
    <row r="8626" spans="19:19" x14ac:dyDescent="0.3">
      <c r="S8626" s="6"/>
    </row>
    <row r="8627" spans="19:19" x14ac:dyDescent="0.3">
      <c r="S8627" s="6"/>
    </row>
    <row r="8628" spans="19:19" x14ac:dyDescent="0.3">
      <c r="S8628" s="6"/>
    </row>
    <row r="8629" spans="19:19" x14ac:dyDescent="0.3">
      <c r="S8629" s="6"/>
    </row>
    <row r="8630" spans="19:19" x14ac:dyDescent="0.3">
      <c r="S8630" s="6"/>
    </row>
    <row r="8631" spans="19:19" x14ac:dyDescent="0.3">
      <c r="S8631" s="6"/>
    </row>
    <row r="8632" spans="19:19" x14ac:dyDescent="0.3">
      <c r="S8632" s="6"/>
    </row>
    <row r="8633" spans="19:19" x14ac:dyDescent="0.3">
      <c r="S8633" s="6"/>
    </row>
    <row r="8634" spans="19:19" x14ac:dyDescent="0.3">
      <c r="S8634" s="6"/>
    </row>
    <row r="8635" spans="19:19" x14ac:dyDescent="0.3">
      <c r="S8635" s="6"/>
    </row>
    <row r="8636" spans="19:19" x14ac:dyDescent="0.3">
      <c r="S8636" s="6"/>
    </row>
    <row r="8637" spans="19:19" x14ac:dyDescent="0.3">
      <c r="S8637" s="6"/>
    </row>
    <row r="8638" spans="19:19" x14ac:dyDescent="0.3">
      <c r="S8638" s="6"/>
    </row>
    <row r="8639" spans="19:19" x14ac:dyDescent="0.3">
      <c r="S8639" s="6"/>
    </row>
    <row r="8640" spans="19:19" x14ac:dyDescent="0.3">
      <c r="S8640" s="6"/>
    </row>
    <row r="8641" spans="19:19" x14ac:dyDescent="0.3">
      <c r="S8641" s="6"/>
    </row>
    <row r="8642" spans="19:19" x14ac:dyDescent="0.3">
      <c r="S8642" s="6"/>
    </row>
    <row r="8643" spans="19:19" x14ac:dyDescent="0.3">
      <c r="S8643" s="6"/>
    </row>
    <row r="8644" spans="19:19" x14ac:dyDescent="0.3">
      <c r="S8644" s="6"/>
    </row>
    <row r="8645" spans="19:19" x14ac:dyDescent="0.3">
      <c r="S8645" s="6"/>
    </row>
    <row r="8646" spans="19:19" x14ac:dyDescent="0.3">
      <c r="S8646" s="6"/>
    </row>
    <row r="8647" spans="19:19" x14ac:dyDescent="0.3">
      <c r="S8647" s="6"/>
    </row>
    <row r="8648" spans="19:19" x14ac:dyDescent="0.3">
      <c r="S8648" s="6"/>
    </row>
    <row r="8649" spans="19:19" x14ac:dyDescent="0.3">
      <c r="S8649" s="6"/>
    </row>
    <row r="8650" spans="19:19" x14ac:dyDescent="0.3">
      <c r="S8650" s="6"/>
    </row>
    <row r="8651" spans="19:19" x14ac:dyDescent="0.3">
      <c r="S8651" s="6"/>
    </row>
    <row r="8652" spans="19:19" x14ac:dyDescent="0.3">
      <c r="S8652" s="6"/>
    </row>
    <row r="8653" spans="19:19" x14ac:dyDescent="0.3">
      <c r="S8653" s="6"/>
    </row>
    <row r="8654" spans="19:19" x14ac:dyDescent="0.3">
      <c r="S8654" s="6"/>
    </row>
    <row r="8655" spans="19:19" x14ac:dyDescent="0.3">
      <c r="S8655" s="6"/>
    </row>
    <row r="8656" spans="19:19" x14ac:dyDescent="0.3">
      <c r="S8656" s="6"/>
    </row>
    <row r="8657" spans="19:19" x14ac:dyDescent="0.3">
      <c r="S8657" s="6"/>
    </row>
    <row r="8658" spans="19:19" x14ac:dyDescent="0.3">
      <c r="S8658" s="6"/>
    </row>
    <row r="8659" spans="19:19" x14ac:dyDescent="0.3">
      <c r="S8659" s="6"/>
    </row>
    <row r="8660" spans="19:19" x14ac:dyDescent="0.3">
      <c r="S8660" s="6"/>
    </row>
    <row r="8661" spans="19:19" x14ac:dyDescent="0.3">
      <c r="S8661" s="6"/>
    </row>
    <row r="8662" spans="19:19" x14ac:dyDescent="0.3">
      <c r="S8662" s="6"/>
    </row>
    <row r="8663" spans="19:19" x14ac:dyDescent="0.3">
      <c r="S8663" s="6"/>
    </row>
    <row r="8664" spans="19:19" x14ac:dyDescent="0.3">
      <c r="S8664" s="6"/>
    </row>
    <row r="8665" spans="19:19" x14ac:dyDescent="0.3">
      <c r="S8665" s="6"/>
    </row>
    <row r="8666" spans="19:19" x14ac:dyDescent="0.3">
      <c r="S8666" s="6"/>
    </row>
    <row r="8667" spans="19:19" x14ac:dyDescent="0.3">
      <c r="S8667" s="6"/>
    </row>
    <row r="8668" spans="19:19" x14ac:dyDescent="0.3">
      <c r="S8668" s="6"/>
    </row>
    <row r="8669" spans="19:19" x14ac:dyDescent="0.3">
      <c r="S8669" s="6"/>
    </row>
    <row r="8670" spans="19:19" x14ac:dyDescent="0.3">
      <c r="S8670" s="6"/>
    </row>
    <row r="8671" spans="19:19" x14ac:dyDescent="0.3">
      <c r="S8671" s="6"/>
    </row>
    <row r="8672" spans="19:19" x14ac:dyDescent="0.3">
      <c r="S8672" s="6"/>
    </row>
    <row r="8673" spans="19:19" x14ac:dyDescent="0.3">
      <c r="S8673" s="6"/>
    </row>
    <row r="8674" spans="19:19" x14ac:dyDescent="0.3">
      <c r="S8674" s="6"/>
    </row>
    <row r="8675" spans="19:19" x14ac:dyDescent="0.3">
      <c r="S8675" s="6"/>
    </row>
    <row r="8676" spans="19:19" x14ac:dyDescent="0.3">
      <c r="S8676" s="6"/>
    </row>
    <row r="8677" spans="19:19" x14ac:dyDescent="0.3">
      <c r="S8677" s="6"/>
    </row>
    <row r="8678" spans="19:19" x14ac:dyDescent="0.3">
      <c r="S8678" s="6"/>
    </row>
    <row r="8679" spans="19:19" x14ac:dyDescent="0.3">
      <c r="S8679" s="6"/>
    </row>
    <row r="8680" spans="19:19" x14ac:dyDescent="0.3">
      <c r="S8680" s="6"/>
    </row>
    <row r="8681" spans="19:19" x14ac:dyDescent="0.3">
      <c r="S8681" s="6"/>
    </row>
    <row r="8682" spans="19:19" x14ac:dyDescent="0.3">
      <c r="S8682" s="6"/>
    </row>
    <row r="8683" spans="19:19" x14ac:dyDescent="0.3">
      <c r="S8683" s="6"/>
    </row>
    <row r="8684" spans="19:19" x14ac:dyDescent="0.3">
      <c r="S8684" s="6"/>
    </row>
    <row r="8685" spans="19:19" x14ac:dyDescent="0.3">
      <c r="S8685" s="6"/>
    </row>
    <row r="8686" spans="19:19" x14ac:dyDescent="0.3">
      <c r="S8686" s="6"/>
    </row>
    <row r="8687" spans="19:19" x14ac:dyDescent="0.3">
      <c r="S8687" s="6"/>
    </row>
    <row r="8688" spans="19:19" x14ac:dyDescent="0.3">
      <c r="S8688" s="6"/>
    </row>
    <row r="8689" spans="19:19" x14ac:dyDescent="0.3">
      <c r="S8689" s="6"/>
    </row>
    <row r="8690" spans="19:19" x14ac:dyDescent="0.3">
      <c r="S8690" s="6"/>
    </row>
    <row r="8691" spans="19:19" x14ac:dyDescent="0.3">
      <c r="S8691" s="6"/>
    </row>
    <row r="8692" spans="19:19" x14ac:dyDescent="0.3">
      <c r="S8692" s="6"/>
    </row>
    <row r="8693" spans="19:19" x14ac:dyDescent="0.3">
      <c r="S8693" s="6"/>
    </row>
    <row r="8694" spans="19:19" x14ac:dyDescent="0.3">
      <c r="S8694" s="6"/>
    </row>
    <row r="8695" spans="19:19" x14ac:dyDescent="0.3">
      <c r="S8695" s="6"/>
    </row>
    <row r="8696" spans="19:19" x14ac:dyDescent="0.3">
      <c r="S8696" s="6"/>
    </row>
    <row r="8697" spans="19:19" x14ac:dyDescent="0.3">
      <c r="S8697" s="6"/>
    </row>
    <row r="8698" spans="19:19" x14ac:dyDescent="0.3">
      <c r="S8698" s="6"/>
    </row>
    <row r="8699" spans="19:19" x14ac:dyDescent="0.3">
      <c r="S8699" s="6"/>
    </row>
    <row r="8700" spans="19:19" x14ac:dyDescent="0.3">
      <c r="S8700" s="6"/>
    </row>
    <row r="8701" spans="19:19" x14ac:dyDescent="0.3">
      <c r="S8701" s="6"/>
    </row>
    <row r="8702" spans="19:19" x14ac:dyDescent="0.3">
      <c r="S8702" s="6"/>
    </row>
    <row r="8703" spans="19:19" x14ac:dyDescent="0.3">
      <c r="S8703" s="6"/>
    </row>
    <row r="8704" spans="19:19" x14ac:dyDescent="0.3">
      <c r="S8704" s="6"/>
    </row>
    <row r="8705" spans="19:19" x14ac:dyDescent="0.3">
      <c r="S8705" s="6"/>
    </row>
    <row r="8706" spans="19:19" x14ac:dyDescent="0.3">
      <c r="S8706" s="6"/>
    </row>
    <row r="8707" spans="19:19" x14ac:dyDescent="0.3">
      <c r="S8707" s="6"/>
    </row>
    <row r="8708" spans="19:19" x14ac:dyDescent="0.3">
      <c r="S8708" s="6"/>
    </row>
    <row r="8709" spans="19:19" x14ac:dyDescent="0.3">
      <c r="S8709" s="6"/>
    </row>
    <row r="8710" spans="19:19" x14ac:dyDescent="0.3">
      <c r="S8710" s="6"/>
    </row>
    <row r="8711" spans="19:19" x14ac:dyDescent="0.3">
      <c r="S8711" s="6"/>
    </row>
    <row r="8712" spans="19:19" x14ac:dyDescent="0.3">
      <c r="S8712" s="6"/>
    </row>
    <row r="8713" spans="19:19" x14ac:dyDescent="0.3">
      <c r="S8713" s="6"/>
    </row>
    <row r="8714" spans="19:19" x14ac:dyDescent="0.3">
      <c r="S8714" s="6"/>
    </row>
    <row r="8715" spans="19:19" x14ac:dyDescent="0.3">
      <c r="S8715" s="6"/>
    </row>
    <row r="8716" spans="19:19" x14ac:dyDescent="0.3">
      <c r="S8716" s="6"/>
    </row>
    <row r="8717" spans="19:19" x14ac:dyDescent="0.3">
      <c r="S8717" s="6"/>
    </row>
    <row r="8718" spans="19:19" x14ac:dyDescent="0.3">
      <c r="S8718" s="6"/>
    </row>
    <row r="8719" spans="19:19" x14ac:dyDescent="0.3">
      <c r="S8719" s="6"/>
    </row>
    <row r="8720" spans="19:19" x14ac:dyDescent="0.3">
      <c r="S8720" s="6"/>
    </row>
    <row r="8721" spans="19:19" x14ac:dyDescent="0.3">
      <c r="S8721" s="6"/>
    </row>
    <row r="8722" spans="19:19" x14ac:dyDescent="0.3">
      <c r="S8722" s="6"/>
    </row>
    <row r="8723" spans="19:19" x14ac:dyDescent="0.3">
      <c r="S8723" s="6"/>
    </row>
    <row r="8724" spans="19:19" x14ac:dyDescent="0.3">
      <c r="S8724" s="6"/>
    </row>
    <row r="8725" spans="19:19" x14ac:dyDescent="0.3">
      <c r="S8725" s="6"/>
    </row>
    <row r="8726" spans="19:19" x14ac:dyDescent="0.3">
      <c r="S8726" s="6"/>
    </row>
    <row r="8727" spans="19:19" x14ac:dyDescent="0.3">
      <c r="S8727" s="6"/>
    </row>
    <row r="8728" spans="19:19" x14ac:dyDescent="0.3">
      <c r="S8728" s="6"/>
    </row>
    <row r="8729" spans="19:19" x14ac:dyDescent="0.3">
      <c r="S8729" s="6"/>
    </row>
    <row r="8730" spans="19:19" x14ac:dyDescent="0.3">
      <c r="S8730" s="6"/>
    </row>
    <row r="8731" spans="19:19" x14ac:dyDescent="0.3">
      <c r="S8731" s="6"/>
    </row>
    <row r="8732" spans="19:19" x14ac:dyDescent="0.3">
      <c r="S8732" s="6"/>
    </row>
    <row r="8733" spans="19:19" x14ac:dyDescent="0.3">
      <c r="S8733" s="6"/>
    </row>
    <row r="8734" spans="19:19" x14ac:dyDescent="0.3">
      <c r="S8734" s="6"/>
    </row>
    <row r="8735" spans="19:19" x14ac:dyDescent="0.3">
      <c r="S8735" s="6"/>
    </row>
    <row r="8736" spans="19:19" x14ac:dyDescent="0.3">
      <c r="S8736" s="6"/>
    </row>
    <row r="8737" spans="19:19" x14ac:dyDescent="0.3">
      <c r="S8737" s="6"/>
    </row>
    <row r="8738" spans="19:19" x14ac:dyDescent="0.3">
      <c r="S8738" s="6"/>
    </row>
    <row r="8739" spans="19:19" x14ac:dyDescent="0.3">
      <c r="S8739" s="6"/>
    </row>
    <row r="8740" spans="19:19" x14ac:dyDescent="0.3">
      <c r="S8740" s="6"/>
    </row>
    <row r="8741" spans="19:19" x14ac:dyDescent="0.3">
      <c r="S8741" s="6"/>
    </row>
    <row r="8742" spans="19:19" x14ac:dyDescent="0.3">
      <c r="S8742" s="6"/>
    </row>
    <row r="8743" spans="19:19" x14ac:dyDescent="0.3">
      <c r="S8743" s="6"/>
    </row>
    <row r="8744" spans="19:19" x14ac:dyDescent="0.3">
      <c r="S8744" s="6"/>
    </row>
    <row r="8745" spans="19:19" x14ac:dyDescent="0.3">
      <c r="S8745" s="6"/>
    </row>
    <row r="8746" spans="19:19" x14ac:dyDescent="0.3">
      <c r="S8746" s="6"/>
    </row>
    <row r="8747" spans="19:19" x14ac:dyDescent="0.3">
      <c r="S8747" s="6"/>
    </row>
    <row r="8748" spans="19:19" x14ac:dyDescent="0.3">
      <c r="S8748" s="6"/>
    </row>
    <row r="8749" spans="19:19" x14ac:dyDescent="0.3">
      <c r="S8749" s="6"/>
    </row>
    <row r="8750" spans="19:19" x14ac:dyDescent="0.3">
      <c r="S8750" s="6"/>
    </row>
    <row r="8751" spans="19:19" x14ac:dyDescent="0.3">
      <c r="S8751" s="6"/>
    </row>
    <row r="8752" spans="19:19" x14ac:dyDescent="0.3">
      <c r="S8752" s="6"/>
    </row>
    <row r="8753" spans="19:19" x14ac:dyDescent="0.3">
      <c r="S8753" s="6"/>
    </row>
    <row r="8754" spans="19:19" x14ac:dyDescent="0.3">
      <c r="S8754" s="6"/>
    </row>
    <row r="8755" spans="19:19" x14ac:dyDescent="0.3">
      <c r="S8755" s="6"/>
    </row>
    <row r="8756" spans="19:19" x14ac:dyDescent="0.3">
      <c r="S8756" s="6"/>
    </row>
    <row r="8757" spans="19:19" x14ac:dyDescent="0.3">
      <c r="S8757" s="6"/>
    </row>
    <row r="8758" spans="19:19" x14ac:dyDescent="0.3">
      <c r="S8758" s="6"/>
    </row>
    <row r="8759" spans="19:19" x14ac:dyDescent="0.3">
      <c r="S8759" s="6"/>
    </row>
    <row r="8760" spans="19:19" x14ac:dyDescent="0.3">
      <c r="S8760" s="6"/>
    </row>
    <row r="8761" spans="19:19" x14ac:dyDescent="0.3">
      <c r="S8761" s="6"/>
    </row>
    <row r="8762" spans="19:19" x14ac:dyDescent="0.3">
      <c r="S8762" s="6"/>
    </row>
    <row r="8763" spans="19:19" x14ac:dyDescent="0.3">
      <c r="S8763" s="6"/>
    </row>
    <row r="8764" spans="19:19" x14ac:dyDescent="0.3">
      <c r="S8764" s="6"/>
    </row>
    <row r="8765" spans="19:19" x14ac:dyDescent="0.3">
      <c r="S8765" s="6"/>
    </row>
    <row r="8766" spans="19:19" x14ac:dyDescent="0.3">
      <c r="S8766" s="6"/>
    </row>
    <row r="8767" spans="19:19" x14ac:dyDescent="0.3">
      <c r="S8767" s="6"/>
    </row>
    <row r="8768" spans="19:19" x14ac:dyDescent="0.3">
      <c r="S8768" s="6"/>
    </row>
    <row r="8769" spans="19:19" x14ac:dyDescent="0.3">
      <c r="S8769" s="6"/>
    </row>
    <row r="8770" spans="19:19" x14ac:dyDescent="0.3">
      <c r="S8770" s="6"/>
    </row>
    <row r="8771" spans="19:19" x14ac:dyDescent="0.3">
      <c r="S8771" s="6"/>
    </row>
    <row r="8772" spans="19:19" x14ac:dyDescent="0.3">
      <c r="S8772" s="6"/>
    </row>
    <row r="8773" spans="19:19" x14ac:dyDescent="0.3">
      <c r="S8773" s="6"/>
    </row>
    <row r="8774" spans="19:19" x14ac:dyDescent="0.3">
      <c r="S8774" s="6"/>
    </row>
    <row r="8775" spans="19:19" x14ac:dyDescent="0.3">
      <c r="S8775" s="6"/>
    </row>
    <row r="8776" spans="19:19" x14ac:dyDescent="0.3">
      <c r="S8776" s="6"/>
    </row>
    <row r="8777" spans="19:19" x14ac:dyDescent="0.3">
      <c r="S8777" s="6"/>
    </row>
    <row r="8778" spans="19:19" x14ac:dyDescent="0.3">
      <c r="S8778" s="6"/>
    </row>
    <row r="8779" spans="19:19" x14ac:dyDescent="0.3">
      <c r="S8779" s="6"/>
    </row>
    <row r="8780" spans="19:19" x14ac:dyDescent="0.3">
      <c r="S8780" s="6"/>
    </row>
    <row r="8781" spans="19:19" x14ac:dyDescent="0.3">
      <c r="S8781" s="6"/>
    </row>
    <row r="8782" spans="19:19" x14ac:dyDescent="0.3">
      <c r="S8782" s="6"/>
    </row>
    <row r="8783" spans="19:19" x14ac:dyDescent="0.3">
      <c r="S8783" s="6"/>
    </row>
    <row r="8784" spans="19:19" x14ac:dyDescent="0.3">
      <c r="S8784" s="6"/>
    </row>
    <row r="8785" spans="19:19" x14ac:dyDescent="0.3">
      <c r="S8785" s="6"/>
    </row>
    <row r="8786" spans="19:19" x14ac:dyDescent="0.3">
      <c r="S8786" s="6"/>
    </row>
    <row r="8787" spans="19:19" x14ac:dyDescent="0.3">
      <c r="S8787" s="6"/>
    </row>
    <row r="8788" spans="19:19" x14ac:dyDescent="0.3">
      <c r="S8788" s="6"/>
    </row>
    <row r="8789" spans="19:19" x14ac:dyDescent="0.3">
      <c r="S8789" s="6"/>
    </row>
    <row r="8790" spans="19:19" x14ac:dyDescent="0.3">
      <c r="S8790" s="6"/>
    </row>
    <row r="8791" spans="19:19" x14ac:dyDescent="0.3">
      <c r="S8791" s="6"/>
    </row>
    <row r="8792" spans="19:19" x14ac:dyDescent="0.3">
      <c r="S8792" s="6"/>
    </row>
    <row r="8793" spans="19:19" x14ac:dyDescent="0.3">
      <c r="S8793" s="6"/>
    </row>
    <row r="8794" spans="19:19" x14ac:dyDescent="0.3">
      <c r="S8794" s="6"/>
    </row>
    <row r="8795" spans="19:19" x14ac:dyDescent="0.3">
      <c r="S8795" s="6"/>
    </row>
    <row r="8796" spans="19:19" x14ac:dyDescent="0.3">
      <c r="S8796" s="6"/>
    </row>
    <row r="8797" spans="19:19" x14ac:dyDescent="0.3">
      <c r="S8797" s="6"/>
    </row>
    <row r="8798" spans="19:19" x14ac:dyDescent="0.3">
      <c r="S8798" s="6"/>
    </row>
    <row r="8799" spans="19:19" x14ac:dyDescent="0.3">
      <c r="S8799" s="6"/>
    </row>
    <row r="8800" spans="19:19" x14ac:dyDescent="0.3">
      <c r="S8800" s="6"/>
    </row>
    <row r="8801" spans="19:19" x14ac:dyDescent="0.3">
      <c r="S8801" s="6"/>
    </row>
    <row r="8802" spans="19:19" x14ac:dyDescent="0.3">
      <c r="S8802" s="6"/>
    </row>
    <row r="8803" spans="19:19" x14ac:dyDescent="0.3">
      <c r="S8803" s="6"/>
    </row>
    <row r="8804" spans="19:19" x14ac:dyDescent="0.3">
      <c r="S8804" s="6"/>
    </row>
    <row r="8805" spans="19:19" x14ac:dyDescent="0.3">
      <c r="S8805" s="6"/>
    </row>
    <row r="8806" spans="19:19" x14ac:dyDescent="0.3">
      <c r="S8806" s="6"/>
    </row>
    <row r="8807" spans="19:19" x14ac:dyDescent="0.3">
      <c r="S8807" s="6"/>
    </row>
    <row r="8808" spans="19:19" x14ac:dyDescent="0.3">
      <c r="S8808" s="6"/>
    </row>
    <row r="8809" spans="19:19" x14ac:dyDescent="0.3">
      <c r="S8809" s="6"/>
    </row>
    <row r="8810" spans="19:19" x14ac:dyDescent="0.3">
      <c r="S8810" s="6"/>
    </row>
    <row r="8811" spans="19:19" x14ac:dyDescent="0.3">
      <c r="S8811" s="6"/>
    </row>
    <row r="8812" spans="19:19" x14ac:dyDescent="0.3">
      <c r="S8812" s="6"/>
    </row>
    <row r="8813" spans="19:19" x14ac:dyDescent="0.3">
      <c r="S8813" s="6"/>
    </row>
    <row r="8814" spans="19:19" x14ac:dyDescent="0.3">
      <c r="S8814" s="6"/>
    </row>
    <row r="8815" spans="19:19" x14ac:dyDescent="0.3">
      <c r="S8815" s="6"/>
    </row>
    <row r="8816" spans="19:19" x14ac:dyDescent="0.3">
      <c r="S8816" s="6"/>
    </row>
    <row r="8817" spans="19:19" x14ac:dyDescent="0.3">
      <c r="S8817" s="6"/>
    </row>
    <row r="8818" spans="19:19" x14ac:dyDescent="0.3">
      <c r="S8818" s="6"/>
    </row>
    <row r="8819" spans="19:19" x14ac:dyDescent="0.3">
      <c r="S8819" s="6"/>
    </row>
    <row r="8820" spans="19:19" x14ac:dyDescent="0.3">
      <c r="S8820" s="6"/>
    </row>
    <row r="8821" spans="19:19" x14ac:dyDescent="0.3">
      <c r="S8821" s="6"/>
    </row>
    <row r="8822" spans="19:19" x14ac:dyDescent="0.3">
      <c r="S8822" s="6"/>
    </row>
    <row r="8823" spans="19:19" x14ac:dyDescent="0.3">
      <c r="S8823" s="6"/>
    </row>
    <row r="8824" spans="19:19" x14ac:dyDescent="0.3">
      <c r="S8824" s="6"/>
    </row>
    <row r="8825" spans="19:19" x14ac:dyDescent="0.3">
      <c r="S8825" s="6"/>
    </row>
    <row r="8826" spans="19:19" x14ac:dyDescent="0.3">
      <c r="S8826" s="6"/>
    </row>
    <row r="8827" spans="19:19" x14ac:dyDescent="0.3">
      <c r="S8827" s="6"/>
    </row>
    <row r="8828" spans="19:19" x14ac:dyDescent="0.3">
      <c r="S8828" s="6"/>
    </row>
    <row r="8829" spans="19:19" x14ac:dyDescent="0.3">
      <c r="S8829" s="6"/>
    </row>
    <row r="8830" spans="19:19" x14ac:dyDescent="0.3">
      <c r="S8830" s="6"/>
    </row>
    <row r="8831" spans="19:19" x14ac:dyDescent="0.3">
      <c r="S8831" s="6"/>
    </row>
    <row r="8832" spans="19:19" x14ac:dyDescent="0.3">
      <c r="S8832" s="6"/>
    </row>
    <row r="8833" spans="19:19" x14ac:dyDescent="0.3">
      <c r="S8833" s="6"/>
    </row>
    <row r="8834" spans="19:19" x14ac:dyDescent="0.3">
      <c r="S8834" s="6"/>
    </row>
    <row r="8835" spans="19:19" x14ac:dyDescent="0.3">
      <c r="S8835" s="6"/>
    </row>
    <row r="8836" spans="19:19" x14ac:dyDescent="0.3">
      <c r="S8836" s="6"/>
    </row>
    <row r="8837" spans="19:19" x14ac:dyDescent="0.3">
      <c r="S8837" s="6"/>
    </row>
    <row r="8838" spans="19:19" x14ac:dyDescent="0.3">
      <c r="S8838" s="6"/>
    </row>
    <row r="8839" spans="19:19" x14ac:dyDescent="0.3">
      <c r="S8839" s="6"/>
    </row>
    <row r="8840" spans="19:19" x14ac:dyDescent="0.3">
      <c r="S8840" s="6"/>
    </row>
    <row r="8841" spans="19:19" x14ac:dyDescent="0.3">
      <c r="S8841" s="6"/>
    </row>
    <row r="8842" spans="19:19" x14ac:dyDescent="0.3">
      <c r="S8842" s="6"/>
    </row>
    <row r="8843" spans="19:19" x14ac:dyDescent="0.3">
      <c r="S8843" s="6"/>
    </row>
    <row r="8844" spans="19:19" x14ac:dyDescent="0.3">
      <c r="S8844" s="6"/>
    </row>
    <row r="8845" spans="19:19" x14ac:dyDescent="0.3">
      <c r="S8845" s="6"/>
    </row>
    <row r="8846" spans="19:19" x14ac:dyDescent="0.3">
      <c r="S8846" s="6"/>
    </row>
    <row r="8847" spans="19:19" x14ac:dyDescent="0.3">
      <c r="S8847" s="6"/>
    </row>
    <row r="8848" spans="19:19" x14ac:dyDescent="0.3">
      <c r="S8848" s="6"/>
    </row>
    <row r="8849" spans="19:19" x14ac:dyDescent="0.3">
      <c r="S8849" s="6"/>
    </row>
    <row r="8850" spans="19:19" x14ac:dyDescent="0.3">
      <c r="S8850" s="6"/>
    </row>
    <row r="8851" spans="19:19" x14ac:dyDescent="0.3">
      <c r="S8851" s="6"/>
    </row>
    <row r="8852" spans="19:19" x14ac:dyDescent="0.3">
      <c r="S8852" s="6"/>
    </row>
    <row r="8853" spans="19:19" x14ac:dyDescent="0.3">
      <c r="S8853" s="6"/>
    </row>
    <row r="8854" spans="19:19" x14ac:dyDescent="0.3">
      <c r="S8854" s="6"/>
    </row>
    <row r="8855" spans="19:19" x14ac:dyDescent="0.3">
      <c r="S8855" s="6"/>
    </row>
    <row r="8856" spans="19:19" x14ac:dyDescent="0.3">
      <c r="S8856" s="6"/>
    </row>
    <row r="8857" spans="19:19" x14ac:dyDescent="0.3">
      <c r="S8857" s="6"/>
    </row>
    <row r="8858" spans="19:19" x14ac:dyDescent="0.3">
      <c r="S8858" s="6"/>
    </row>
    <row r="8859" spans="19:19" x14ac:dyDescent="0.3">
      <c r="S8859" s="6"/>
    </row>
    <row r="8860" spans="19:19" x14ac:dyDescent="0.3">
      <c r="S8860" s="6"/>
    </row>
    <row r="8861" spans="19:19" x14ac:dyDescent="0.3">
      <c r="S8861" s="6"/>
    </row>
    <row r="8862" spans="19:19" x14ac:dyDescent="0.3">
      <c r="S8862" s="6"/>
    </row>
    <row r="8863" spans="19:19" x14ac:dyDescent="0.3">
      <c r="S8863" s="6"/>
    </row>
    <row r="8864" spans="19:19" x14ac:dyDescent="0.3">
      <c r="S8864" s="6"/>
    </row>
    <row r="8865" spans="19:19" x14ac:dyDescent="0.3">
      <c r="S8865" s="6"/>
    </row>
    <row r="8866" spans="19:19" x14ac:dyDescent="0.3">
      <c r="S8866" s="6"/>
    </row>
    <row r="8867" spans="19:19" x14ac:dyDescent="0.3">
      <c r="S8867" s="6"/>
    </row>
    <row r="8868" spans="19:19" x14ac:dyDescent="0.3">
      <c r="S8868" s="6"/>
    </row>
    <row r="8869" spans="19:19" x14ac:dyDescent="0.3">
      <c r="S8869" s="6"/>
    </row>
    <row r="8870" spans="19:19" x14ac:dyDescent="0.3">
      <c r="S8870" s="6"/>
    </row>
    <row r="8871" spans="19:19" x14ac:dyDescent="0.3">
      <c r="S8871" s="6"/>
    </row>
    <row r="8872" spans="19:19" x14ac:dyDescent="0.3">
      <c r="S8872" s="6"/>
    </row>
    <row r="8873" spans="19:19" x14ac:dyDescent="0.3">
      <c r="S8873" s="6"/>
    </row>
    <row r="8874" spans="19:19" x14ac:dyDescent="0.3">
      <c r="S8874" s="6"/>
    </row>
    <row r="8875" spans="19:19" x14ac:dyDescent="0.3">
      <c r="S8875" s="6"/>
    </row>
    <row r="8876" spans="19:19" x14ac:dyDescent="0.3">
      <c r="S8876" s="6"/>
    </row>
    <row r="8877" spans="19:19" x14ac:dyDescent="0.3">
      <c r="S8877" s="6"/>
    </row>
    <row r="8878" spans="19:19" x14ac:dyDescent="0.3">
      <c r="S8878" s="6"/>
    </row>
    <row r="8879" spans="19:19" x14ac:dyDescent="0.3">
      <c r="S8879" s="6"/>
    </row>
    <row r="8880" spans="19:19" x14ac:dyDescent="0.3">
      <c r="S8880" s="6"/>
    </row>
    <row r="8881" spans="19:19" x14ac:dyDescent="0.3">
      <c r="S8881" s="6"/>
    </row>
    <row r="8882" spans="19:19" x14ac:dyDescent="0.3">
      <c r="S8882" s="6"/>
    </row>
    <row r="8883" spans="19:19" x14ac:dyDescent="0.3">
      <c r="S8883" s="6"/>
    </row>
    <row r="8884" spans="19:19" x14ac:dyDescent="0.3">
      <c r="S8884" s="6"/>
    </row>
    <row r="8885" spans="19:19" x14ac:dyDescent="0.3">
      <c r="S8885" s="6"/>
    </row>
    <row r="8886" spans="19:19" x14ac:dyDescent="0.3">
      <c r="S8886" s="6"/>
    </row>
    <row r="8887" spans="19:19" x14ac:dyDescent="0.3">
      <c r="S8887" s="6"/>
    </row>
    <row r="8888" spans="19:19" x14ac:dyDescent="0.3">
      <c r="S8888" s="6"/>
    </row>
    <row r="8889" spans="19:19" x14ac:dyDescent="0.3">
      <c r="S8889" s="6"/>
    </row>
    <row r="8890" spans="19:19" x14ac:dyDescent="0.3">
      <c r="S8890" s="6"/>
    </row>
    <row r="8891" spans="19:19" x14ac:dyDescent="0.3">
      <c r="S8891" s="6"/>
    </row>
    <row r="8892" spans="19:19" x14ac:dyDescent="0.3">
      <c r="S8892" s="6"/>
    </row>
    <row r="8893" spans="19:19" x14ac:dyDescent="0.3">
      <c r="S8893" s="6"/>
    </row>
    <row r="8894" spans="19:19" x14ac:dyDescent="0.3">
      <c r="S8894" s="6"/>
    </row>
    <row r="8895" spans="19:19" x14ac:dyDescent="0.3">
      <c r="S8895" s="6"/>
    </row>
    <row r="8896" spans="19:19" x14ac:dyDescent="0.3">
      <c r="S8896" s="6"/>
    </row>
    <row r="8897" spans="19:19" x14ac:dyDescent="0.3">
      <c r="S8897" s="6"/>
    </row>
    <row r="8898" spans="19:19" x14ac:dyDescent="0.3">
      <c r="S8898" s="6"/>
    </row>
    <row r="8899" spans="19:19" x14ac:dyDescent="0.3">
      <c r="S8899" s="6"/>
    </row>
    <row r="8900" spans="19:19" x14ac:dyDescent="0.3">
      <c r="S8900" s="6"/>
    </row>
    <row r="8901" spans="19:19" x14ac:dyDescent="0.3">
      <c r="S8901" s="6"/>
    </row>
    <row r="8902" spans="19:19" x14ac:dyDescent="0.3">
      <c r="S8902" s="6"/>
    </row>
    <row r="8903" spans="19:19" x14ac:dyDescent="0.3">
      <c r="S8903" s="6"/>
    </row>
    <row r="8904" spans="19:19" x14ac:dyDescent="0.3">
      <c r="S8904" s="6"/>
    </row>
    <row r="8905" spans="19:19" x14ac:dyDescent="0.3">
      <c r="S8905" s="6"/>
    </row>
    <row r="8906" spans="19:19" x14ac:dyDescent="0.3">
      <c r="S8906" s="6"/>
    </row>
    <row r="8907" spans="19:19" x14ac:dyDescent="0.3">
      <c r="S8907" s="6"/>
    </row>
    <row r="8908" spans="19:19" x14ac:dyDescent="0.3">
      <c r="S8908" s="6"/>
    </row>
    <row r="8909" spans="19:19" x14ac:dyDescent="0.3">
      <c r="S8909" s="6"/>
    </row>
    <row r="8910" spans="19:19" x14ac:dyDescent="0.3">
      <c r="S8910" s="6"/>
    </row>
    <row r="8911" spans="19:19" x14ac:dyDescent="0.3">
      <c r="S8911" s="6"/>
    </row>
    <row r="8912" spans="19:19" x14ac:dyDescent="0.3">
      <c r="S8912" s="6"/>
    </row>
    <row r="8913" spans="19:19" x14ac:dyDescent="0.3">
      <c r="S8913" s="6"/>
    </row>
    <row r="8914" spans="19:19" x14ac:dyDescent="0.3">
      <c r="S8914" s="6"/>
    </row>
    <row r="8915" spans="19:19" x14ac:dyDescent="0.3">
      <c r="S8915" s="6"/>
    </row>
    <row r="8916" spans="19:19" x14ac:dyDescent="0.3">
      <c r="S8916" s="6"/>
    </row>
    <row r="8917" spans="19:19" x14ac:dyDescent="0.3">
      <c r="S8917" s="6"/>
    </row>
    <row r="8918" spans="19:19" x14ac:dyDescent="0.3">
      <c r="S8918" s="6"/>
    </row>
    <row r="8919" spans="19:19" x14ac:dyDescent="0.3">
      <c r="S8919" s="6"/>
    </row>
    <row r="8920" spans="19:19" x14ac:dyDescent="0.3">
      <c r="S8920" s="6"/>
    </row>
    <row r="8921" spans="19:19" x14ac:dyDescent="0.3">
      <c r="S8921" s="6"/>
    </row>
    <row r="8922" spans="19:19" x14ac:dyDescent="0.3">
      <c r="S8922" s="6"/>
    </row>
    <row r="8923" spans="19:19" x14ac:dyDescent="0.3">
      <c r="S8923" s="6"/>
    </row>
    <row r="8924" spans="19:19" x14ac:dyDescent="0.3">
      <c r="S8924" s="6"/>
    </row>
    <row r="8925" spans="19:19" x14ac:dyDescent="0.3">
      <c r="S8925" s="6"/>
    </row>
    <row r="8926" spans="19:19" x14ac:dyDescent="0.3">
      <c r="S8926" s="6"/>
    </row>
    <row r="8927" spans="19:19" x14ac:dyDescent="0.3">
      <c r="S8927" s="6"/>
    </row>
    <row r="8928" spans="19:19" x14ac:dyDescent="0.3">
      <c r="S8928" s="6"/>
    </row>
    <row r="8929" spans="19:19" x14ac:dyDescent="0.3">
      <c r="S8929" s="6"/>
    </row>
    <row r="8930" spans="19:19" x14ac:dyDescent="0.3">
      <c r="S8930" s="6"/>
    </row>
    <row r="8931" spans="19:19" x14ac:dyDescent="0.3">
      <c r="S8931" s="6"/>
    </row>
    <row r="8932" spans="19:19" x14ac:dyDescent="0.3">
      <c r="S8932" s="6"/>
    </row>
    <row r="8933" spans="19:19" x14ac:dyDescent="0.3">
      <c r="S8933" s="6"/>
    </row>
    <row r="8934" spans="19:19" x14ac:dyDescent="0.3">
      <c r="S8934" s="6"/>
    </row>
    <row r="8935" spans="19:19" x14ac:dyDescent="0.3">
      <c r="S8935" s="6"/>
    </row>
    <row r="8936" spans="19:19" x14ac:dyDescent="0.3">
      <c r="S8936" s="6"/>
    </row>
    <row r="8937" spans="19:19" x14ac:dyDescent="0.3">
      <c r="S8937" s="6"/>
    </row>
    <row r="8938" spans="19:19" x14ac:dyDescent="0.3">
      <c r="S8938" s="6"/>
    </row>
    <row r="8939" spans="19:19" x14ac:dyDescent="0.3">
      <c r="S8939" s="6"/>
    </row>
    <row r="8940" spans="19:19" x14ac:dyDescent="0.3">
      <c r="S8940" s="6"/>
    </row>
    <row r="8941" spans="19:19" x14ac:dyDescent="0.3">
      <c r="S8941" s="6"/>
    </row>
    <row r="8942" spans="19:19" x14ac:dyDescent="0.3">
      <c r="S8942" s="6"/>
    </row>
    <row r="8943" spans="19:19" x14ac:dyDescent="0.3">
      <c r="S8943" s="6"/>
    </row>
    <row r="8944" spans="19:19" x14ac:dyDescent="0.3">
      <c r="S8944" s="6"/>
    </row>
    <row r="8945" spans="19:19" x14ac:dyDescent="0.3">
      <c r="S8945" s="6"/>
    </row>
    <row r="8946" spans="19:19" x14ac:dyDescent="0.3">
      <c r="S8946" s="6"/>
    </row>
    <row r="8947" spans="19:19" x14ac:dyDescent="0.3">
      <c r="S8947" s="6"/>
    </row>
    <row r="8948" spans="19:19" x14ac:dyDescent="0.3">
      <c r="S8948" s="6"/>
    </row>
    <row r="8949" spans="19:19" x14ac:dyDescent="0.3">
      <c r="S8949" s="6"/>
    </row>
    <row r="8950" spans="19:19" x14ac:dyDescent="0.3">
      <c r="S8950" s="6"/>
    </row>
    <row r="8951" spans="19:19" x14ac:dyDescent="0.3">
      <c r="S8951" s="6"/>
    </row>
    <row r="8952" spans="19:19" x14ac:dyDescent="0.3">
      <c r="S8952" s="6"/>
    </row>
    <row r="8953" spans="19:19" x14ac:dyDescent="0.3">
      <c r="S8953" s="6"/>
    </row>
    <row r="8954" spans="19:19" x14ac:dyDescent="0.3">
      <c r="S8954" s="6"/>
    </row>
    <row r="8955" spans="19:19" x14ac:dyDescent="0.3">
      <c r="S8955" s="6"/>
    </row>
    <row r="8956" spans="19:19" x14ac:dyDescent="0.3">
      <c r="S8956" s="6"/>
    </row>
    <row r="8957" spans="19:19" x14ac:dyDescent="0.3">
      <c r="S8957" s="6"/>
    </row>
    <row r="8958" spans="19:19" x14ac:dyDescent="0.3">
      <c r="S8958" s="6"/>
    </row>
    <row r="8959" spans="19:19" x14ac:dyDescent="0.3">
      <c r="S8959" s="6"/>
    </row>
    <row r="8960" spans="19:19" x14ac:dyDescent="0.3">
      <c r="S8960" s="6"/>
    </row>
    <row r="8961" spans="19:19" x14ac:dyDescent="0.3">
      <c r="S8961" s="6"/>
    </row>
    <row r="8962" spans="19:19" x14ac:dyDescent="0.3">
      <c r="S8962" s="6"/>
    </row>
    <row r="8963" spans="19:19" x14ac:dyDescent="0.3">
      <c r="S8963" s="6"/>
    </row>
    <row r="8964" spans="19:19" x14ac:dyDescent="0.3">
      <c r="S8964" s="6"/>
    </row>
    <row r="8965" spans="19:19" x14ac:dyDescent="0.3">
      <c r="S8965" s="6"/>
    </row>
    <row r="8966" spans="19:19" x14ac:dyDescent="0.3">
      <c r="S8966" s="6"/>
    </row>
    <row r="8967" spans="19:19" x14ac:dyDescent="0.3">
      <c r="S8967" s="6"/>
    </row>
    <row r="8968" spans="19:19" x14ac:dyDescent="0.3">
      <c r="S8968" s="6"/>
    </row>
    <row r="8969" spans="19:19" x14ac:dyDescent="0.3">
      <c r="S8969" s="6"/>
    </row>
    <row r="8970" spans="19:19" x14ac:dyDescent="0.3">
      <c r="S8970" s="6"/>
    </row>
    <row r="8971" spans="19:19" x14ac:dyDescent="0.3">
      <c r="S8971" s="6"/>
    </row>
    <row r="8972" spans="19:19" x14ac:dyDescent="0.3">
      <c r="S8972" s="6"/>
    </row>
    <row r="8973" spans="19:19" x14ac:dyDescent="0.3">
      <c r="S8973" s="6"/>
    </row>
    <row r="8974" spans="19:19" x14ac:dyDescent="0.3">
      <c r="S8974" s="6"/>
    </row>
    <row r="8975" spans="19:19" x14ac:dyDescent="0.3">
      <c r="S8975" s="6"/>
    </row>
    <row r="8976" spans="19:19" x14ac:dyDescent="0.3">
      <c r="S8976" s="6"/>
    </row>
    <row r="8977" spans="19:19" x14ac:dyDescent="0.3">
      <c r="S8977" s="6"/>
    </row>
    <row r="8978" spans="19:19" x14ac:dyDescent="0.3">
      <c r="S8978" s="6"/>
    </row>
    <row r="8979" spans="19:19" x14ac:dyDescent="0.3">
      <c r="S8979" s="6"/>
    </row>
    <row r="8980" spans="19:19" x14ac:dyDescent="0.3">
      <c r="S8980" s="6"/>
    </row>
    <row r="8981" spans="19:19" x14ac:dyDescent="0.3">
      <c r="S8981" s="6"/>
    </row>
    <row r="8982" spans="19:19" x14ac:dyDescent="0.3">
      <c r="S8982" s="6"/>
    </row>
    <row r="8983" spans="19:19" x14ac:dyDescent="0.3">
      <c r="S8983" s="6"/>
    </row>
    <row r="8984" spans="19:19" x14ac:dyDescent="0.3">
      <c r="S8984" s="6"/>
    </row>
    <row r="8985" spans="19:19" x14ac:dyDescent="0.3">
      <c r="S8985" s="6"/>
    </row>
    <row r="8986" spans="19:19" x14ac:dyDescent="0.3">
      <c r="S8986" s="6"/>
    </row>
    <row r="8987" spans="19:19" x14ac:dyDescent="0.3">
      <c r="S8987" s="6"/>
    </row>
    <row r="8988" spans="19:19" x14ac:dyDescent="0.3">
      <c r="S8988" s="6"/>
    </row>
    <row r="8989" spans="19:19" x14ac:dyDescent="0.3">
      <c r="S8989" s="6"/>
    </row>
    <row r="8990" spans="19:19" x14ac:dyDescent="0.3">
      <c r="S8990" s="6"/>
    </row>
    <row r="8991" spans="19:19" x14ac:dyDescent="0.3">
      <c r="S8991" s="6"/>
    </row>
    <row r="8992" spans="19:19" x14ac:dyDescent="0.3">
      <c r="S8992" s="6"/>
    </row>
    <row r="8993" spans="19:19" x14ac:dyDescent="0.3">
      <c r="S8993" s="6"/>
    </row>
    <row r="8994" spans="19:19" x14ac:dyDescent="0.3">
      <c r="S8994" s="6"/>
    </row>
    <row r="8995" spans="19:19" x14ac:dyDescent="0.3">
      <c r="S8995" s="6"/>
    </row>
    <row r="8996" spans="19:19" x14ac:dyDescent="0.3">
      <c r="S8996" s="6"/>
    </row>
    <row r="8997" spans="19:19" x14ac:dyDescent="0.3">
      <c r="S8997" s="6"/>
    </row>
    <row r="8998" spans="19:19" x14ac:dyDescent="0.3">
      <c r="S8998" s="6"/>
    </row>
    <row r="8999" spans="19:19" x14ac:dyDescent="0.3">
      <c r="S8999" s="6"/>
    </row>
    <row r="9000" spans="19:19" x14ac:dyDescent="0.3">
      <c r="S9000" s="6"/>
    </row>
    <row r="9001" spans="19:19" x14ac:dyDescent="0.3">
      <c r="S9001" s="6"/>
    </row>
    <row r="9002" spans="19:19" x14ac:dyDescent="0.3">
      <c r="S9002" s="6"/>
    </row>
    <row r="9003" spans="19:19" x14ac:dyDescent="0.3">
      <c r="S9003" s="6"/>
    </row>
    <row r="9004" spans="19:19" x14ac:dyDescent="0.3">
      <c r="S9004" s="6"/>
    </row>
    <row r="9005" spans="19:19" x14ac:dyDescent="0.3">
      <c r="S9005" s="6"/>
    </row>
    <row r="9006" spans="19:19" x14ac:dyDescent="0.3">
      <c r="S9006" s="6"/>
    </row>
    <row r="9007" spans="19:19" x14ac:dyDescent="0.3">
      <c r="S9007" s="6"/>
    </row>
    <row r="9008" spans="19:19" x14ac:dyDescent="0.3">
      <c r="S9008" s="6"/>
    </row>
    <row r="9009" spans="19:19" x14ac:dyDescent="0.3">
      <c r="S9009" s="6"/>
    </row>
    <row r="9010" spans="19:19" x14ac:dyDescent="0.3">
      <c r="S9010" s="6"/>
    </row>
    <row r="9011" spans="19:19" x14ac:dyDescent="0.3">
      <c r="S9011" s="6"/>
    </row>
    <row r="9012" spans="19:19" x14ac:dyDescent="0.3">
      <c r="S9012" s="6"/>
    </row>
    <row r="9013" spans="19:19" x14ac:dyDescent="0.3">
      <c r="S9013" s="6"/>
    </row>
    <row r="9014" spans="19:19" x14ac:dyDescent="0.3">
      <c r="S9014" s="6"/>
    </row>
    <row r="9015" spans="19:19" x14ac:dyDescent="0.3">
      <c r="S9015" s="6"/>
    </row>
    <row r="9016" spans="19:19" x14ac:dyDescent="0.3">
      <c r="S9016" s="6"/>
    </row>
    <row r="9017" spans="19:19" x14ac:dyDescent="0.3">
      <c r="S9017" s="6"/>
    </row>
    <row r="9018" spans="19:19" x14ac:dyDescent="0.3">
      <c r="S9018" s="6"/>
    </row>
    <row r="9019" spans="19:19" x14ac:dyDescent="0.3">
      <c r="S9019" s="6"/>
    </row>
    <row r="9020" spans="19:19" x14ac:dyDescent="0.3">
      <c r="S9020" s="6"/>
    </row>
    <row r="9021" spans="19:19" x14ac:dyDescent="0.3">
      <c r="S9021" s="6"/>
    </row>
    <row r="9022" spans="19:19" x14ac:dyDescent="0.3">
      <c r="S9022" s="6"/>
    </row>
    <row r="9023" spans="19:19" x14ac:dyDescent="0.3">
      <c r="S9023" s="6"/>
    </row>
    <row r="9024" spans="19:19" x14ac:dyDescent="0.3">
      <c r="S9024" s="6"/>
    </row>
    <row r="9025" spans="19:19" x14ac:dyDescent="0.3">
      <c r="S9025" s="6"/>
    </row>
    <row r="9026" spans="19:19" x14ac:dyDescent="0.3">
      <c r="S9026" s="6"/>
    </row>
    <row r="9027" spans="19:19" x14ac:dyDescent="0.3">
      <c r="S9027" s="6"/>
    </row>
    <row r="9028" spans="19:19" x14ac:dyDescent="0.3">
      <c r="S9028" s="6"/>
    </row>
    <row r="9029" spans="19:19" x14ac:dyDescent="0.3">
      <c r="S9029" s="6"/>
    </row>
    <row r="9030" spans="19:19" x14ac:dyDescent="0.3">
      <c r="S9030" s="6"/>
    </row>
    <row r="9031" spans="19:19" x14ac:dyDescent="0.3">
      <c r="S9031" s="6"/>
    </row>
    <row r="9032" spans="19:19" x14ac:dyDescent="0.3">
      <c r="S9032" s="6"/>
    </row>
    <row r="9033" spans="19:19" x14ac:dyDescent="0.3">
      <c r="S9033" s="6"/>
    </row>
    <row r="9034" spans="19:19" x14ac:dyDescent="0.3">
      <c r="S9034" s="6"/>
    </row>
    <row r="9035" spans="19:19" x14ac:dyDescent="0.3">
      <c r="S9035" s="6"/>
    </row>
    <row r="9036" spans="19:19" x14ac:dyDescent="0.3">
      <c r="S9036" s="6"/>
    </row>
    <row r="9037" spans="19:19" x14ac:dyDescent="0.3">
      <c r="S9037" s="6"/>
    </row>
    <row r="9038" spans="19:19" x14ac:dyDescent="0.3">
      <c r="S9038" s="6"/>
    </row>
    <row r="9039" spans="19:19" x14ac:dyDescent="0.3">
      <c r="S9039" s="6"/>
    </row>
    <row r="9040" spans="19:19" x14ac:dyDescent="0.3">
      <c r="S9040" s="6"/>
    </row>
    <row r="9041" spans="19:19" x14ac:dyDescent="0.3">
      <c r="S9041" s="6"/>
    </row>
    <row r="9042" spans="19:19" x14ac:dyDescent="0.3">
      <c r="S9042" s="6"/>
    </row>
    <row r="9043" spans="19:19" x14ac:dyDescent="0.3">
      <c r="S9043" s="6"/>
    </row>
    <row r="9044" spans="19:19" x14ac:dyDescent="0.3">
      <c r="S9044" s="6"/>
    </row>
    <row r="9045" spans="19:19" x14ac:dyDescent="0.3">
      <c r="S9045" s="6"/>
    </row>
    <row r="9046" spans="19:19" x14ac:dyDescent="0.3">
      <c r="S9046" s="6"/>
    </row>
    <row r="9047" spans="19:19" x14ac:dyDescent="0.3">
      <c r="S9047" s="6"/>
    </row>
    <row r="9048" spans="19:19" x14ac:dyDescent="0.3">
      <c r="S9048" s="6"/>
    </row>
    <row r="9049" spans="19:19" x14ac:dyDescent="0.3">
      <c r="S9049" s="6"/>
    </row>
    <row r="9050" spans="19:19" x14ac:dyDescent="0.3">
      <c r="S9050" s="6"/>
    </row>
    <row r="9051" spans="19:19" x14ac:dyDescent="0.3">
      <c r="S9051" s="6"/>
    </row>
    <row r="9052" spans="19:19" x14ac:dyDescent="0.3">
      <c r="S9052" s="6"/>
    </row>
    <row r="9053" spans="19:19" x14ac:dyDescent="0.3">
      <c r="S9053" s="6"/>
    </row>
    <row r="9054" spans="19:19" x14ac:dyDescent="0.3">
      <c r="S9054" s="6"/>
    </row>
    <row r="9055" spans="19:19" x14ac:dyDescent="0.3">
      <c r="S9055" s="6"/>
    </row>
    <row r="9056" spans="19:19" x14ac:dyDescent="0.3">
      <c r="S9056" s="6"/>
    </row>
    <row r="9057" spans="19:19" x14ac:dyDescent="0.3">
      <c r="S9057" s="6"/>
    </row>
    <row r="9058" spans="19:19" x14ac:dyDescent="0.3">
      <c r="S9058" s="6"/>
    </row>
    <row r="9059" spans="19:19" x14ac:dyDescent="0.3">
      <c r="S9059" s="6"/>
    </row>
    <row r="9060" spans="19:19" x14ac:dyDescent="0.3">
      <c r="S9060" s="6"/>
    </row>
    <row r="9061" spans="19:19" x14ac:dyDescent="0.3">
      <c r="S9061" s="6"/>
    </row>
    <row r="9062" spans="19:19" x14ac:dyDescent="0.3">
      <c r="S9062" s="6"/>
    </row>
    <row r="9063" spans="19:19" x14ac:dyDescent="0.3">
      <c r="S9063" s="6"/>
    </row>
    <row r="9064" spans="19:19" x14ac:dyDescent="0.3">
      <c r="S9064" s="6"/>
    </row>
    <row r="9065" spans="19:19" x14ac:dyDescent="0.3">
      <c r="S9065" s="6"/>
    </row>
    <row r="9066" spans="19:19" x14ac:dyDescent="0.3">
      <c r="S9066" s="6"/>
    </row>
    <row r="9067" spans="19:19" x14ac:dyDescent="0.3">
      <c r="S9067" s="6"/>
    </row>
    <row r="9068" spans="19:19" x14ac:dyDescent="0.3">
      <c r="S9068" s="6"/>
    </row>
    <row r="9069" spans="19:19" x14ac:dyDescent="0.3">
      <c r="S9069" s="6"/>
    </row>
    <row r="9070" spans="19:19" x14ac:dyDescent="0.3">
      <c r="S9070" s="6"/>
    </row>
    <row r="9071" spans="19:19" x14ac:dyDescent="0.3">
      <c r="S9071" s="6"/>
    </row>
    <row r="9072" spans="19:19" x14ac:dyDescent="0.3">
      <c r="S9072" s="6"/>
    </row>
    <row r="9073" spans="19:19" x14ac:dyDescent="0.3">
      <c r="S9073" s="6"/>
    </row>
    <row r="9074" spans="19:19" x14ac:dyDescent="0.3">
      <c r="S9074" s="6"/>
    </row>
    <row r="9075" spans="19:19" x14ac:dyDescent="0.3">
      <c r="S9075" s="6"/>
    </row>
    <row r="9076" spans="19:19" x14ac:dyDescent="0.3">
      <c r="S9076" s="6"/>
    </row>
    <row r="9077" spans="19:19" x14ac:dyDescent="0.3">
      <c r="S9077" s="6"/>
    </row>
    <row r="9078" spans="19:19" x14ac:dyDescent="0.3">
      <c r="S9078" s="6"/>
    </row>
    <row r="9079" spans="19:19" x14ac:dyDescent="0.3">
      <c r="S9079" s="6"/>
    </row>
    <row r="9080" spans="19:19" x14ac:dyDescent="0.3">
      <c r="S9080" s="6"/>
    </row>
    <row r="9081" spans="19:19" x14ac:dyDescent="0.3">
      <c r="S9081" s="6"/>
    </row>
    <row r="9082" spans="19:19" x14ac:dyDescent="0.3">
      <c r="S9082" s="6"/>
    </row>
    <row r="9083" spans="19:19" x14ac:dyDescent="0.3">
      <c r="S9083" s="6"/>
    </row>
    <row r="9084" spans="19:19" x14ac:dyDescent="0.3">
      <c r="S9084" s="6"/>
    </row>
    <row r="9085" spans="19:19" x14ac:dyDescent="0.3">
      <c r="S9085" s="6"/>
    </row>
    <row r="9086" spans="19:19" x14ac:dyDescent="0.3">
      <c r="S9086" s="6"/>
    </row>
    <row r="9087" spans="19:19" x14ac:dyDescent="0.3">
      <c r="S9087" s="6"/>
    </row>
    <row r="9088" spans="19:19" x14ac:dyDescent="0.3">
      <c r="S9088" s="6"/>
    </row>
    <row r="9089" spans="19:19" x14ac:dyDescent="0.3">
      <c r="S9089" s="6"/>
    </row>
    <row r="9090" spans="19:19" x14ac:dyDescent="0.3">
      <c r="S9090" s="6"/>
    </row>
    <row r="9091" spans="19:19" x14ac:dyDescent="0.3">
      <c r="S9091" s="6"/>
    </row>
    <row r="9092" spans="19:19" x14ac:dyDescent="0.3">
      <c r="S9092" s="6"/>
    </row>
    <row r="9093" spans="19:19" x14ac:dyDescent="0.3">
      <c r="S9093" s="6"/>
    </row>
    <row r="9094" spans="19:19" x14ac:dyDescent="0.3">
      <c r="S9094" s="6"/>
    </row>
    <row r="9095" spans="19:19" x14ac:dyDescent="0.3">
      <c r="S9095" s="6"/>
    </row>
    <row r="9096" spans="19:19" x14ac:dyDescent="0.3">
      <c r="S9096" s="6"/>
    </row>
    <row r="9097" spans="19:19" x14ac:dyDescent="0.3">
      <c r="S9097" s="6"/>
    </row>
    <row r="9098" spans="19:19" x14ac:dyDescent="0.3">
      <c r="S9098" s="6"/>
    </row>
    <row r="9099" spans="19:19" x14ac:dyDescent="0.3">
      <c r="S9099" s="6"/>
    </row>
    <row r="9100" spans="19:19" x14ac:dyDescent="0.3">
      <c r="S9100" s="6"/>
    </row>
    <row r="9101" spans="19:19" x14ac:dyDescent="0.3">
      <c r="S9101" s="6"/>
    </row>
    <row r="9102" spans="19:19" x14ac:dyDescent="0.3">
      <c r="S9102" s="6"/>
    </row>
    <row r="9103" spans="19:19" x14ac:dyDescent="0.3">
      <c r="S9103" s="6"/>
    </row>
    <row r="9104" spans="19:19" x14ac:dyDescent="0.3">
      <c r="S9104" s="6"/>
    </row>
    <row r="9105" spans="19:19" x14ac:dyDescent="0.3">
      <c r="S9105" s="6"/>
    </row>
    <row r="9106" spans="19:19" x14ac:dyDescent="0.3">
      <c r="S9106" s="6"/>
    </row>
    <row r="9107" spans="19:19" x14ac:dyDescent="0.3">
      <c r="S9107" s="6"/>
    </row>
    <row r="9108" spans="19:19" x14ac:dyDescent="0.3">
      <c r="S9108" s="6"/>
    </row>
    <row r="9109" spans="19:19" x14ac:dyDescent="0.3">
      <c r="S9109" s="6"/>
    </row>
    <row r="9110" spans="19:19" x14ac:dyDescent="0.3">
      <c r="S9110" s="6"/>
    </row>
    <row r="9111" spans="19:19" x14ac:dyDescent="0.3">
      <c r="S9111" s="6"/>
    </row>
    <row r="9112" spans="19:19" x14ac:dyDescent="0.3">
      <c r="S9112" s="6"/>
    </row>
    <row r="9113" spans="19:19" x14ac:dyDescent="0.3">
      <c r="S9113" s="6"/>
    </row>
    <row r="9114" spans="19:19" x14ac:dyDescent="0.3">
      <c r="S9114" s="6"/>
    </row>
    <row r="9115" spans="19:19" x14ac:dyDescent="0.3">
      <c r="S9115" s="6"/>
    </row>
    <row r="9116" spans="19:19" x14ac:dyDescent="0.3">
      <c r="S9116" s="6"/>
    </row>
    <row r="9117" spans="19:19" x14ac:dyDescent="0.3">
      <c r="S9117" s="6"/>
    </row>
    <row r="9118" spans="19:19" x14ac:dyDescent="0.3">
      <c r="S9118" s="6"/>
    </row>
    <row r="9119" spans="19:19" x14ac:dyDescent="0.3">
      <c r="S9119" s="6"/>
    </row>
    <row r="9120" spans="19:19" x14ac:dyDescent="0.3">
      <c r="S9120" s="6"/>
    </row>
    <row r="9121" spans="19:19" x14ac:dyDescent="0.3">
      <c r="S9121" s="6"/>
    </row>
    <row r="9122" spans="19:19" x14ac:dyDescent="0.3">
      <c r="S9122" s="6"/>
    </row>
    <row r="9123" spans="19:19" x14ac:dyDescent="0.3">
      <c r="S9123" s="6"/>
    </row>
    <row r="9124" spans="19:19" x14ac:dyDescent="0.3">
      <c r="S9124" s="6"/>
    </row>
    <row r="9125" spans="19:19" x14ac:dyDescent="0.3">
      <c r="S9125" s="6"/>
    </row>
    <row r="9126" spans="19:19" x14ac:dyDescent="0.3">
      <c r="S9126" s="6"/>
    </row>
    <row r="9127" spans="19:19" x14ac:dyDescent="0.3">
      <c r="S9127" s="6"/>
    </row>
    <row r="9128" spans="19:19" x14ac:dyDescent="0.3">
      <c r="S9128" s="6"/>
    </row>
    <row r="9129" spans="19:19" x14ac:dyDescent="0.3">
      <c r="S9129" s="6"/>
    </row>
    <row r="9130" spans="19:19" x14ac:dyDescent="0.3">
      <c r="S9130" s="6"/>
    </row>
    <row r="9131" spans="19:19" x14ac:dyDescent="0.3">
      <c r="S9131" s="6"/>
    </row>
    <row r="9132" spans="19:19" x14ac:dyDescent="0.3">
      <c r="S9132" s="6"/>
    </row>
    <row r="9133" spans="19:19" x14ac:dyDescent="0.3">
      <c r="S9133" s="6"/>
    </row>
    <row r="9134" spans="19:19" x14ac:dyDescent="0.3">
      <c r="S9134" s="6"/>
    </row>
    <row r="9135" spans="19:19" x14ac:dyDescent="0.3">
      <c r="S9135" s="6"/>
    </row>
    <row r="9136" spans="19:19" x14ac:dyDescent="0.3">
      <c r="S9136" s="6"/>
    </row>
    <row r="9137" spans="19:19" x14ac:dyDescent="0.3">
      <c r="S9137" s="6"/>
    </row>
    <row r="9138" spans="19:19" x14ac:dyDescent="0.3">
      <c r="S9138" s="6"/>
    </row>
    <row r="9139" spans="19:19" x14ac:dyDescent="0.3">
      <c r="S9139" s="6"/>
    </row>
    <row r="9140" spans="19:19" x14ac:dyDescent="0.3">
      <c r="S9140" s="6"/>
    </row>
    <row r="9141" spans="19:19" x14ac:dyDescent="0.3">
      <c r="S9141" s="6"/>
    </row>
    <row r="9142" spans="19:19" x14ac:dyDescent="0.3">
      <c r="S9142" s="6"/>
    </row>
    <row r="9143" spans="19:19" x14ac:dyDescent="0.3">
      <c r="S9143" s="6"/>
    </row>
    <row r="9144" spans="19:19" x14ac:dyDescent="0.3">
      <c r="S9144" s="6"/>
    </row>
    <row r="9145" spans="19:19" x14ac:dyDescent="0.3">
      <c r="S9145" s="6"/>
    </row>
    <row r="9146" spans="19:19" x14ac:dyDescent="0.3">
      <c r="S9146" s="6"/>
    </row>
    <row r="9147" spans="19:19" x14ac:dyDescent="0.3">
      <c r="S9147" s="6"/>
    </row>
    <row r="9148" spans="19:19" x14ac:dyDescent="0.3">
      <c r="S9148" s="6"/>
    </row>
    <row r="9149" spans="19:19" x14ac:dyDescent="0.3">
      <c r="S9149" s="6"/>
    </row>
    <row r="9150" spans="19:19" x14ac:dyDescent="0.3">
      <c r="S9150" s="6"/>
    </row>
    <row r="9151" spans="19:19" x14ac:dyDescent="0.3">
      <c r="S9151" s="6"/>
    </row>
    <row r="9152" spans="19:19" x14ac:dyDescent="0.3">
      <c r="S9152" s="6"/>
    </row>
    <row r="9153" spans="19:19" x14ac:dyDescent="0.3">
      <c r="S9153" s="6"/>
    </row>
    <row r="9154" spans="19:19" x14ac:dyDescent="0.3">
      <c r="S9154" s="6"/>
    </row>
    <row r="9155" spans="19:19" x14ac:dyDescent="0.3">
      <c r="S9155" s="6"/>
    </row>
    <row r="9156" spans="19:19" x14ac:dyDescent="0.3">
      <c r="S9156" s="6"/>
    </row>
    <row r="9157" spans="19:19" x14ac:dyDescent="0.3">
      <c r="S9157" s="6"/>
    </row>
    <row r="9158" spans="19:19" x14ac:dyDescent="0.3">
      <c r="S9158" s="6"/>
    </row>
    <row r="9159" spans="19:19" x14ac:dyDescent="0.3">
      <c r="S9159" s="6"/>
    </row>
    <row r="9160" spans="19:19" x14ac:dyDescent="0.3">
      <c r="S9160" s="6"/>
    </row>
    <row r="9161" spans="19:19" x14ac:dyDescent="0.3">
      <c r="S9161" s="6"/>
    </row>
    <row r="9162" spans="19:19" x14ac:dyDescent="0.3">
      <c r="S9162" s="6"/>
    </row>
    <row r="9163" spans="19:19" x14ac:dyDescent="0.3">
      <c r="S9163" s="6"/>
    </row>
    <row r="9164" spans="19:19" x14ac:dyDescent="0.3">
      <c r="S9164" s="6"/>
    </row>
    <row r="9165" spans="19:19" x14ac:dyDescent="0.3">
      <c r="S9165" s="6"/>
    </row>
    <row r="9166" spans="19:19" x14ac:dyDescent="0.3">
      <c r="S9166" s="6"/>
    </row>
    <row r="9167" spans="19:19" x14ac:dyDescent="0.3">
      <c r="S9167" s="6"/>
    </row>
    <row r="9168" spans="19:19" x14ac:dyDescent="0.3">
      <c r="S9168" s="6"/>
    </row>
    <row r="9169" spans="19:19" x14ac:dyDescent="0.3">
      <c r="S9169" s="6"/>
    </row>
    <row r="9170" spans="19:19" x14ac:dyDescent="0.3">
      <c r="S9170" s="6"/>
    </row>
    <row r="9171" spans="19:19" x14ac:dyDescent="0.3">
      <c r="S9171" s="6"/>
    </row>
    <row r="9172" spans="19:19" x14ac:dyDescent="0.3">
      <c r="S9172" s="6"/>
    </row>
    <row r="9173" spans="19:19" x14ac:dyDescent="0.3">
      <c r="S9173" s="6"/>
    </row>
    <row r="9174" spans="19:19" x14ac:dyDescent="0.3">
      <c r="S9174" s="6"/>
    </row>
    <row r="9175" spans="19:19" x14ac:dyDescent="0.3">
      <c r="S9175" s="6"/>
    </row>
    <row r="9176" spans="19:19" x14ac:dyDescent="0.3">
      <c r="S9176" s="6"/>
    </row>
    <row r="9177" spans="19:19" x14ac:dyDescent="0.3">
      <c r="S9177" s="6"/>
    </row>
    <row r="9178" spans="19:19" x14ac:dyDescent="0.3">
      <c r="S9178" s="6"/>
    </row>
    <row r="9179" spans="19:19" x14ac:dyDescent="0.3">
      <c r="S9179" s="6"/>
    </row>
    <row r="9180" spans="19:19" x14ac:dyDescent="0.3">
      <c r="S9180" s="6"/>
    </row>
    <row r="9181" spans="19:19" x14ac:dyDescent="0.3">
      <c r="S9181" s="6"/>
    </row>
    <row r="9182" spans="19:19" x14ac:dyDescent="0.3">
      <c r="S9182" s="6"/>
    </row>
    <row r="9183" spans="19:19" x14ac:dyDescent="0.3">
      <c r="S9183" s="6"/>
    </row>
    <row r="9184" spans="19:19" x14ac:dyDescent="0.3">
      <c r="S9184" s="6"/>
    </row>
    <row r="9185" spans="19:19" x14ac:dyDescent="0.3">
      <c r="S9185" s="6"/>
    </row>
    <row r="9186" spans="19:19" x14ac:dyDescent="0.3">
      <c r="S9186" s="6"/>
    </row>
    <row r="9187" spans="19:19" x14ac:dyDescent="0.3">
      <c r="S9187" s="6"/>
    </row>
    <row r="9188" spans="19:19" x14ac:dyDescent="0.3">
      <c r="S9188" s="6"/>
    </row>
    <row r="9189" spans="19:19" x14ac:dyDescent="0.3">
      <c r="S9189" s="6"/>
    </row>
    <row r="9190" spans="19:19" x14ac:dyDescent="0.3">
      <c r="S9190" s="6"/>
    </row>
    <row r="9191" spans="19:19" x14ac:dyDescent="0.3">
      <c r="S9191" s="6"/>
    </row>
    <row r="9192" spans="19:19" x14ac:dyDescent="0.3">
      <c r="S9192" s="6"/>
    </row>
    <row r="9193" spans="19:19" x14ac:dyDescent="0.3">
      <c r="S9193" s="6"/>
    </row>
    <row r="9194" spans="19:19" x14ac:dyDescent="0.3">
      <c r="S9194" s="6"/>
    </row>
    <row r="9195" spans="19:19" x14ac:dyDescent="0.3">
      <c r="S9195" s="6"/>
    </row>
    <row r="9196" spans="19:19" x14ac:dyDescent="0.3">
      <c r="S9196" s="6"/>
    </row>
    <row r="9197" spans="19:19" x14ac:dyDescent="0.3">
      <c r="S9197" s="6"/>
    </row>
    <row r="9198" spans="19:19" x14ac:dyDescent="0.3">
      <c r="S9198" s="6"/>
    </row>
    <row r="9199" spans="19:19" x14ac:dyDescent="0.3">
      <c r="S9199" s="6"/>
    </row>
    <row r="9200" spans="19:19" x14ac:dyDescent="0.3">
      <c r="S9200" s="6"/>
    </row>
    <row r="9201" spans="19:19" x14ac:dyDescent="0.3">
      <c r="S9201" s="6"/>
    </row>
    <row r="9202" spans="19:19" x14ac:dyDescent="0.3">
      <c r="S9202" s="6"/>
    </row>
    <row r="9203" spans="19:19" x14ac:dyDescent="0.3">
      <c r="S9203" s="6"/>
    </row>
    <row r="9204" spans="19:19" x14ac:dyDescent="0.3">
      <c r="S9204" s="6"/>
    </row>
    <row r="9205" spans="19:19" x14ac:dyDescent="0.3">
      <c r="S9205" s="6"/>
    </row>
    <row r="9206" spans="19:19" x14ac:dyDescent="0.3">
      <c r="S9206" s="6"/>
    </row>
    <row r="9207" spans="19:19" x14ac:dyDescent="0.3">
      <c r="S9207" s="6"/>
    </row>
    <row r="9208" spans="19:19" x14ac:dyDescent="0.3">
      <c r="S9208" s="6"/>
    </row>
    <row r="9209" spans="19:19" x14ac:dyDescent="0.3">
      <c r="S9209" s="6"/>
    </row>
    <row r="9210" spans="19:19" x14ac:dyDescent="0.3">
      <c r="S9210" s="6"/>
    </row>
    <row r="9211" spans="19:19" x14ac:dyDescent="0.3">
      <c r="S9211" s="6"/>
    </row>
    <row r="9212" spans="19:19" x14ac:dyDescent="0.3">
      <c r="S9212" s="6"/>
    </row>
    <row r="9213" spans="19:19" x14ac:dyDescent="0.3">
      <c r="S9213" s="6"/>
    </row>
    <row r="9214" spans="19:19" x14ac:dyDescent="0.3">
      <c r="S9214" s="6"/>
    </row>
    <row r="9215" spans="19:19" x14ac:dyDescent="0.3">
      <c r="S9215" s="6"/>
    </row>
    <row r="9216" spans="19:19" x14ac:dyDescent="0.3">
      <c r="S9216" s="6"/>
    </row>
    <row r="9217" spans="19:19" x14ac:dyDescent="0.3">
      <c r="S9217" s="6"/>
    </row>
    <row r="9218" spans="19:19" x14ac:dyDescent="0.3">
      <c r="S9218" s="6"/>
    </row>
    <row r="9219" spans="19:19" x14ac:dyDescent="0.3">
      <c r="S9219" s="6"/>
    </row>
    <row r="9220" spans="19:19" x14ac:dyDescent="0.3">
      <c r="S9220" s="6"/>
    </row>
    <row r="9221" spans="19:19" x14ac:dyDescent="0.3">
      <c r="S9221" s="6"/>
    </row>
    <row r="9222" spans="19:19" x14ac:dyDescent="0.3">
      <c r="S9222" s="6"/>
    </row>
    <row r="9223" spans="19:19" x14ac:dyDescent="0.3">
      <c r="S9223" s="6"/>
    </row>
    <row r="9224" spans="19:19" x14ac:dyDescent="0.3">
      <c r="S9224" s="6"/>
    </row>
    <row r="9225" spans="19:19" x14ac:dyDescent="0.3">
      <c r="S9225" s="6"/>
    </row>
    <row r="9226" spans="19:19" x14ac:dyDescent="0.3">
      <c r="S9226" s="6"/>
    </row>
    <row r="9227" spans="19:19" x14ac:dyDescent="0.3">
      <c r="S9227" s="6"/>
    </row>
    <row r="9228" spans="19:19" x14ac:dyDescent="0.3">
      <c r="S9228" s="6"/>
    </row>
    <row r="9229" spans="19:19" x14ac:dyDescent="0.3">
      <c r="S9229" s="6"/>
    </row>
    <row r="9230" spans="19:19" x14ac:dyDescent="0.3">
      <c r="S9230" s="6"/>
    </row>
    <row r="9231" spans="19:19" x14ac:dyDescent="0.3">
      <c r="S9231" s="6"/>
    </row>
    <row r="9232" spans="19:19" x14ac:dyDescent="0.3">
      <c r="S9232" s="6"/>
    </row>
    <row r="9233" spans="19:19" x14ac:dyDescent="0.3">
      <c r="S9233" s="6"/>
    </row>
    <row r="9234" spans="19:19" x14ac:dyDescent="0.3">
      <c r="S9234" s="6"/>
    </row>
    <row r="9235" spans="19:19" x14ac:dyDescent="0.3">
      <c r="S9235" s="6"/>
    </row>
    <row r="9236" spans="19:19" x14ac:dyDescent="0.3">
      <c r="S9236" s="6"/>
    </row>
    <row r="9237" spans="19:19" x14ac:dyDescent="0.3">
      <c r="S9237" s="6"/>
    </row>
    <row r="9238" spans="19:19" x14ac:dyDescent="0.3">
      <c r="S9238" s="6"/>
    </row>
    <row r="9239" spans="19:19" x14ac:dyDescent="0.3">
      <c r="S9239" s="6"/>
    </row>
    <row r="9240" spans="19:19" x14ac:dyDescent="0.3">
      <c r="S9240" s="6"/>
    </row>
    <row r="9241" spans="19:19" x14ac:dyDescent="0.3">
      <c r="S9241" s="6"/>
    </row>
    <row r="9242" spans="19:19" x14ac:dyDescent="0.3">
      <c r="S9242" s="6"/>
    </row>
    <row r="9243" spans="19:19" x14ac:dyDescent="0.3">
      <c r="S9243" s="6"/>
    </row>
    <row r="9244" spans="19:19" x14ac:dyDescent="0.3">
      <c r="S9244" s="6"/>
    </row>
    <row r="9245" spans="19:19" x14ac:dyDescent="0.3">
      <c r="S9245" s="6"/>
    </row>
    <row r="9246" spans="19:19" x14ac:dyDescent="0.3">
      <c r="S9246" s="6"/>
    </row>
    <row r="9247" spans="19:19" x14ac:dyDescent="0.3">
      <c r="S9247" s="6"/>
    </row>
    <row r="9248" spans="19:19" x14ac:dyDescent="0.3">
      <c r="S9248" s="6"/>
    </row>
    <row r="9249" spans="19:19" x14ac:dyDescent="0.3">
      <c r="S9249" s="6"/>
    </row>
    <row r="9250" spans="19:19" x14ac:dyDescent="0.3">
      <c r="S9250" s="6"/>
    </row>
    <row r="9251" spans="19:19" x14ac:dyDescent="0.3">
      <c r="S9251" s="6"/>
    </row>
    <row r="9252" spans="19:19" x14ac:dyDescent="0.3">
      <c r="S9252" s="6"/>
    </row>
    <row r="9253" spans="19:19" x14ac:dyDescent="0.3">
      <c r="S9253" s="6"/>
    </row>
    <row r="9254" spans="19:19" x14ac:dyDescent="0.3">
      <c r="S9254" s="6"/>
    </row>
    <row r="9255" spans="19:19" x14ac:dyDescent="0.3">
      <c r="S9255" s="6"/>
    </row>
    <row r="9256" spans="19:19" x14ac:dyDescent="0.3">
      <c r="S9256" s="6"/>
    </row>
    <row r="9257" spans="19:19" x14ac:dyDescent="0.3">
      <c r="S9257" s="6"/>
    </row>
    <row r="9258" spans="19:19" x14ac:dyDescent="0.3">
      <c r="S9258" s="6"/>
    </row>
    <row r="9259" spans="19:19" x14ac:dyDescent="0.3">
      <c r="S9259" s="6"/>
    </row>
    <row r="9260" spans="19:19" x14ac:dyDescent="0.3">
      <c r="S9260" s="6"/>
    </row>
    <row r="9261" spans="19:19" x14ac:dyDescent="0.3">
      <c r="S9261" s="6"/>
    </row>
    <row r="9262" spans="19:19" x14ac:dyDescent="0.3">
      <c r="S9262" s="6"/>
    </row>
    <row r="9263" spans="19:19" x14ac:dyDescent="0.3">
      <c r="S9263" s="6"/>
    </row>
    <row r="9264" spans="19:19" x14ac:dyDescent="0.3">
      <c r="S9264" s="6"/>
    </row>
    <row r="9265" spans="19:19" x14ac:dyDescent="0.3">
      <c r="S9265" s="6"/>
    </row>
    <row r="9266" spans="19:19" x14ac:dyDescent="0.3">
      <c r="S9266" s="6"/>
    </row>
    <row r="9267" spans="19:19" x14ac:dyDescent="0.3">
      <c r="S9267" s="6"/>
    </row>
    <row r="9268" spans="19:19" x14ac:dyDescent="0.3">
      <c r="S9268" s="6"/>
    </row>
    <row r="9269" spans="19:19" x14ac:dyDescent="0.3">
      <c r="S9269" s="6"/>
    </row>
    <row r="9270" spans="19:19" x14ac:dyDescent="0.3">
      <c r="S9270" s="6"/>
    </row>
    <row r="9271" spans="19:19" x14ac:dyDescent="0.3">
      <c r="S9271" s="6"/>
    </row>
    <row r="9272" spans="19:19" x14ac:dyDescent="0.3">
      <c r="S9272" s="6"/>
    </row>
    <row r="9273" spans="19:19" x14ac:dyDescent="0.3">
      <c r="S9273" s="6"/>
    </row>
    <row r="9274" spans="19:19" x14ac:dyDescent="0.3">
      <c r="S9274" s="6"/>
    </row>
    <row r="9275" spans="19:19" x14ac:dyDescent="0.3">
      <c r="S9275" s="6"/>
    </row>
    <row r="9276" spans="19:19" x14ac:dyDescent="0.3">
      <c r="S9276" s="6"/>
    </row>
    <row r="9277" spans="19:19" x14ac:dyDescent="0.3">
      <c r="S9277" s="6"/>
    </row>
    <row r="9278" spans="19:19" x14ac:dyDescent="0.3">
      <c r="S9278" s="6"/>
    </row>
    <row r="9279" spans="19:19" x14ac:dyDescent="0.3">
      <c r="S9279" s="6"/>
    </row>
    <row r="9280" spans="19:19" x14ac:dyDescent="0.3">
      <c r="S9280" s="6"/>
    </row>
    <row r="9281" spans="19:19" x14ac:dyDescent="0.3">
      <c r="S9281" s="6"/>
    </row>
    <row r="9282" spans="19:19" x14ac:dyDescent="0.3">
      <c r="S9282" s="6"/>
    </row>
    <row r="9283" spans="19:19" x14ac:dyDescent="0.3">
      <c r="S9283" s="6"/>
    </row>
    <row r="9284" spans="19:19" x14ac:dyDescent="0.3">
      <c r="S9284" s="6"/>
    </row>
    <row r="9285" spans="19:19" x14ac:dyDescent="0.3">
      <c r="S9285" s="6"/>
    </row>
    <row r="9286" spans="19:19" x14ac:dyDescent="0.3">
      <c r="S9286" s="6"/>
    </row>
    <row r="9287" spans="19:19" x14ac:dyDescent="0.3">
      <c r="S9287" s="6"/>
    </row>
    <row r="9288" spans="19:19" x14ac:dyDescent="0.3">
      <c r="S9288" s="6"/>
    </row>
    <row r="9289" spans="19:19" x14ac:dyDescent="0.3">
      <c r="S9289" s="6"/>
    </row>
    <row r="9290" spans="19:19" x14ac:dyDescent="0.3">
      <c r="S9290" s="6"/>
    </row>
    <row r="9291" spans="19:19" x14ac:dyDescent="0.3">
      <c r="S9291" s="6"/>
    </row>
    <row r="9292" spans="19:19" x14ac:dyDescent="0.3">
      <c r="S9292" s="6"/>
    </row>
    <row r="9293" spans="19:19" x14ac:dyDescent="0.3">
      <c r="S9293" s="6"/>
    </row>
    <row r="9294" spans="19:19" x14ac:dyDescent="0.3">
      <c r="S9294" s="6"/>
    </row>
    <row r="9295" spans="19:19" x14ac:dyDescent="0.3">
      <c r="S9295" s="6"/>
    </row>
    <row r="9296" spans="19:19" x14ac:dyDescent="0.3">
      <c r="S9296" s="6"/>
    </row>
    <row r="9297" spans="19:19" x14ac:dyDescent="0.3">
      <c r="S9297" s="6"/>
    </row>
    <row r="9298" spans="19:19" x14ac:dyDescent="0.3">
      <c r="S9298" s="6"/>
    </row>
    <row r="9299" spans="19:19" x14ac:dyDescent="0.3">
      <c r="S9299" s="6"/>
    </row>
    <row r="9300" spans="19:19" x14ac:dyDescent="0.3">
      <c r="S9300" s="6"/>
    </row>
    <row r="9301" spans="19:19" x14ac:dyDescent="0.3">
      <c r="S9301" s="6"/>
    </row>
    <row r="9302" spans="19:19" x14ac:dyDescent="0.3">
      <c r="S9302" s="6"/>
    </row>
    <row r="9303" spans="19:19" x14ac:dyDescent="0.3">
      <c r="S9303" s="6"/>
    </row>
    <row r="9304" spans="19:19" x14ac:dyDescent="0.3">
      <c r="S9304" s="6"/>
    </row>
    <row r="9305" spans="19:19" x14ac:dyDescent="0.3">
      <c r="S9305" s="6"/>
    </row>
    <row r="9306" spans="19:19" x14ac:dyDescent="0.3">
      <c r="S9306" s="6"/>
    </row>
    <row r="9307" spans="19:19" x14ac:dyDescent="0.3">
      <c r="S9307" s="6"/>
    </row>
    <row r="9308" spans="19:19" x14ac:dyDescent="0.3">
      <c r="S9308" s="6"/>
    </row>
    <row r="9309" spans="19:19" x14ac:dyDescent="0.3">
      <c r="S9309" s="6"/>
    </row>
    <row r="9310" spans="19:19" x14ac:dyDescent="0.3">
      <c r="S9310" s="6"/>
    </row>
    <row r="9311" spans="19:19" x14ac:dyDescent="0.3">
      <c r="S9311" s="6"/>
    </row>
    <row r="9312" spans="19:19" x14ac:dyDescent="0.3">
      <c r="S9312" s="6"/>
    </row>
    <row r="9313" spans="19:19" x14ac:dyDescent="0.3">
      <c r="S9313" s="6"/>
    </row>
    <row r="9314" spans="19:19" x14ac:dyDescent="0.3">
      <c r="S9314" s="6"/>
    </row>
    <row r="9315" spans="19:19" x14ac:dyDescent="0.3">
      <c r="S9315" s="6"/>
    </row>
    <row r="9316" spans="19:19" x14ac:dyDescent="0.3">
      <c r="S9316" s="6"/>
    </row>
    <row r="9317" spans="19:19" x14ac:dyDescent="0.3">
      <c r="S9317" s="6"/>
    </row>
    <row r="9318" spans="19:19" x14ac:dyDescent="0.3">
      <c r="S9318" s="6"/>
    </row>
    <row r="9319" spans="19:19" x14ac:dyDescent="0.3">
      <c r="S9319" s="6"/>
    </row>
    <row r="9320" spans="19:19" x14ac:dyDescent="0.3">
      <c r="S9320" s="6"/>
    </row>
    <row r="9321" spans="19:19" x14ac:dyDescent="0.3">
      <c r="S9321" s="6"/>
    </row>
    <row r="9322" spans="19:19" x14ac:dyDescent="0.3">
      <c r="S9322" s="6"/>
    </row>
    <row r="9323" spans="19:19" x14ac:dyDescent="0.3">
      <c r="S9323" s="6"/>
    </row>
    <row r="9324" spans="19:19" x14ac:dyDescent="0.3">
      <c r="S9324" s="6"/>
    </row>
    <row r="9325" spans="19:19" x14ac:dyDescent="0.3">
      <c r="S9325" s="6"/>
    </row>
    <row r="9326" spans="19:19" x14ac:dyDescent="0.3">
      <c r="S9326" s="6"/>
    </row>
    <row r="9327" spans="19:19" x14ac:dyDescent="0.3">
      <c r="S9327" s="6"/>
    </row>
    <row r="9328" spans="19:19" x14ac:dyDescent="0.3">
      <c r="S9328" s="6"/>
    </row>
    <row r="9329" spans="19:19" x14ac:dyDescent="0.3">
      <c r="S9329" s="6"/>
    </row>
    <row r="9330" spans="19:19" x14ac:dyDescent="0.3">
      <c r="S9330" s="6"/>
    </row>
    <row r="9331" spans="19:19" x14ac:dyDescent="0.3">
      <c r="S9331" s="6"/>
    </row>
    <row r="9332" spans="19:19" x14ac:dyDescent="0.3">
      <c r="S9332" s="6"/>
    </row>
    <row r="9333" spans="19:19" x14ac:dyDescent="0.3">
      <c r="S9333" s="6"/>
    </row>
    <row r="9334" spans="19:19" x14ac:dyDescent="0.3">
      <c r="S9334" s="6"/>
    </row>
    <row r="9335" spans="19:19" x14ac:dyDescent="0.3">
      <c r="S9335" s="6"/>
    </row>
    <row r="9336" spans="19:19" x14ac:dyDescent="0.3">
      <c r="S9336" s="6"/>
    </row>
    <row r="9337" spans="19:19" x14ac:dyDescent="0.3">
      <c r="S9337" s="6"/>
    </row>
    <row r="9338" spans="19:19" x14ac:dyDescent="0.3">
      <c r="S9338" s="6"/>
    </row>
    <row r="9339" spans="19:19" x14ac:dyDescent="0.3">
      <c r="S9339" s="6"/>
    </row>
    <row r="9340" spans="19:19" x14ac:dyDescent="0.3">
      <c r="S9340" s="6"/>
    </row>
    <row r="9341" spans="19:19" x14ac:dyDescent="0.3">
      <c r="S9341" s="6"/>
    </row>
    <row r="9342" spans="19:19" x14ac:dyDescent="0.3">
      <c r="S9342" s="6"/>
    </row>
    <row r="9343" spans="19:19" x14ac:dyDescent="0.3">
      <c r="S9343" s="6"/>
    </row>
    <row r="9344" spans="19:19" x14ac:dyDescent="0.3">
      <c r="S9344" s="6"/>
    </row>
    <row r="9345" spans="19:19" x14ac:dyDescent="0.3">
      <c r="S9345" s="6"/>
    </row>
    <row r="9346" spans="19:19" x14ac:dyDescent="0.3">
      <c r="S9346" s="6"/>
    </row>
    <row r="9347" spans="19:19" x14ac:dyDescent="0.3">
      <c r="S9347" s="6"/>
    </row>
    <row r="9348" spans="19:19" x14ac:dyDescent="0.3">
      <c r="S9348" s="6"/>
    </row>
    <row r="9349" spans="19:19" x14ac:dyDescent="0.3">
      <c r="S9349" s="6"/>
    </row>
    <row r="9350" spans="19:19" x14ac:dyDescent="0.3">
      <c r="S9350" s="6"/>
    </row>
    <row r="9351" spans="19:19" x14ac:dyDescent="0.3">
      <c r="S9351" s="6"/>
    </row>
    <row r="9352" spans="19:19" x14ac:dyDescent="0.3">
      <c r="S9352" s="6"/>
    </row>
    <row r="9353" spans="19:19" x14ac:dyDescent="0.3">
      <c r="S9353" s="6"/>
    </row>
    <row r="9354" spans="19:19" x14ac:dyDescent="0.3">
      <c r="S9354" s="6"/>
    </row>
    <row r="9355" spans="19:19" x14ac:dyDescent="0.3">
      <c r="S9355" s="6"/>
    </row>
    <row r="9356" spans="19:19" x14ac:dyDescent="0.3">
      <c r="S9356" s="6"/>
    </row>
    <row r="9357" spans="19:19" x14ac:dyDescent="0.3">
      <c r="S9357" s="6"/>
    </row>
    <row r="9358" spans="19:19" x14ac:dyDescent="0.3">
      <c r="S9358" s="6"/>
    </row>
    <row r="9359" spans="19:19" x14ac:dyDescent="0.3">
      <c r="S9359" s="6"/>
    </row>
    <row r="9360" spans="19:19" x14ac:dyDescent="0.3">
      <c r="S9360" s="6"/>
    </row>
    <row r="9361" spans="19:19" x14ac:dyDescent="0.3">
      <c r="S9361" s="6"/>
    </row>
    <row r="9362" spans="19:19" x14ac:dyDescent="0.3">
      <c r="S9362" s="6"/>
    </row>
    <row r="9363" spans="19:19" x14ac:dyDescent="0.3">
      <c r="S9363" s="6"/>
    </row>
    <row r="9364" spans="19:19" x14ac:dyDescent="0.3">
      <c r="S9364" s="6"/>
    </row>
    <row r="9365" spans="19:19" x14ac:dyDescent="0.3">
      <c r="S9365" s="6"/>
    </row>
    <row r="9366" spans="19:19" x14ac:dyDescent="0.3">
      <c r="S9366" s="6"/>
    </row>
    <row r="9367" spans="19:19" x14ac:dyDescent="0.3">
      <c r="S9367" s="6"/>
    </row>
    <row r="9368" spans="19:19" x14ac:dyDescent="0.3">
      <c r="S9368" s="6"/>
    </row>
    <row r="9369" spans="19:19" x14ac:dyDescent="0.3">
      <c r="S9369" s="6"/>
    </row>
    <row r="9370" spans="19:19" x14ac:dyDescent="0.3">
      <c r="S9370" s="6"/>
    </row>
    <row r="9371" spans="19:19" x14ac:dyDescent="0.3">
      <c r="S9371" s="6"/>
    </row>
    <row r="9372" spans="19:19" x14ac:dyDescent="0.3">
      <c r="S9372" s="6"/>
    </row>
    <row r="9373" spans="19:19" x14ac:dyDescent="0.3">
      <c r="S9373" s="6"/>
    </row>
    <row r="9374" spans="19:19" x14ac:dyDescent="0.3">
      <c r="S9374" s="6"/>
    </row>
    <row r="9375" spans="19:19" x14ac:dyDescent="0.3">
      <c r="S9375" s="6"/>
    </row>
    <row r="9376" spans="19:19" x14ac:dyDescent="0.3">
      <c r="S9376" s="6"/>
    </row>
    <row r="9377" spans="19:19" x14ac:dyDescent="0.3">
      <c r="S9377" s="6"/>
    </row>
    <row r="9378" spans="19:19" x14ac:dyDescent="0.3">
      <c r="S9378" s="6"/>
    </row>
    <row r="9379" spans="19:19" x14ac:dyDescent="0.3">
      <c r="S9379" s="6"/>
    </row>
    <row r="9380" spans="19:19" x14ac:dyDescent="0.3">
      <c r="S9380" s="6"/>
    </row>
    <row r="9381" spans="19:19" x14ac:dyDescent="0.3">
      <c r="S9381" s="6"/>
    </row>
    <row r="9382" spans="19:19" x14ac:dyDescent="0.3">
      <c r="S9382" s="6"/>
    </row>
    <row r="9383" spans="19:19" x14ac:dyDescent="0.3">
      <c r="S9383" s="6"/>
    </row>
    <row r="9384" spans="19:19" x14ac:dyDescent="0.3">
      <c r="S9384" s="6"/>
    </row>
    <row r="9385" spans="19:19" x14ac:dyDescent="0.3">
      <c r="S9385" s="6"/>
    </row>
    <row r="9386" spans="19:19" x14ac:dyDescent="0.3">
      <c r="S9386" s="6"/>
    </row>
    <row r="9387" spans="19:19" x14ac:dyDescent="0.3">
      <c r="S9387" s="6"/>
    </row>
    <row r="9388" spans="19:19" x14ac:dyDescent="0.3">
      <c r="S9388" s="6"/>
    </row>
    <row r="9389" spans="19:19" x14ac:dyDescent="0.3">
      <c r="S9389" s="6"/>
    </row>
    <row r="9390" spans="19:19" x14ac:dyDescent="0.3">
      <c r="S9390" s="6"/>
    </row>
    <row r="9391" spans="19:19" x14ac:dyDescent="0.3">
      <c r="S9391" s="6"/>
    </row>
    <row r="9392" spans="19:19" x14ac:dyDescent="0.3">
      <c r="S9392" s="6"/>
    </row>
    <row r="9393" spans="19:19" x14ac:dyDescent="0.3">
      <c r="S9393" s="6"/>
    </row>
    <row r="9394" spans="19:19" x14ac:dyDescent="0.3">
      <c r="S9394" s="6"/>
    </row>
    <row r="9395" spans="19:19" x14ac:dyDescent="0.3">
      <c r="S9395" s="6"/>
    </row>
    <row r="9396" spans="19:19" x14ac:dyDescent="0.3">
      <c r="S9396" s="6"/>
    </row>
    <row r="9397" spans="19:19" x14ac:dyDescent="0.3">
      <c r="S9397" s="6"/>
    </row>
    <row r="9398" spans="19:19" x14ac:dyDescent="0.3">
      <c r="S9398" s="6"/>
    </row>
    <row r="9399" spans="19:19" x14ac:dyDescent="0.3">
      <c r="S9399" s="6"/>
    </row>
    <row r="9400" spans="19:19" x14ac:dyDescent="0.3">
      <c r="S9400" s="6"/>
    </row>
    <row r="9401" spans="19:19" x14ac:dyDescent="0.3">
      <c r="S9401" s="6"/>
    </row>
    <row r="9402" spans="19:19" x14ac:dyDescent="0.3">
      <c r="S9402" s="6"/>
    </row>
    <row r="9403" spans="19:19" x14ac:dyDescent="0.3">
      <c r="S9403" s="6"/>
    </row>
    <row r="9404" spans="19:19" x14ac:dyDescent="0.3">
      <c r="S9404" s="6"/>
    </row>
    <row r="9405" spans="19:19" x14ac:dyDescent="0.3">
      <c r="S9405" s="6"/>
    </row>
    <row r="9406" spans="19:19" x14ac:dyDescent="0.3">
      <c r="S9406" s="6"/>
    </row>
    <row r="9407" spans="19:19" x14ac:dyDescent="0.3">
      <c r="S9407" s="6"/>
    </row>
    <row r="9408" spans="19:19" x14ac:dyDescent="0.3">
      <c r="S9408" s="6"/>
    </row>
    <row r="9409" spans="19:19" x14ac:dyDescent="0.3">
      <c r="S9409" s="6"/>
    </row>
    <row r="9410" spans="19:19" x14ac:dyDescent="0.3">
      <c r="S9410" s="6"/>
    </row>
    <row r="9411" spans="19:19" x14ac:dyDescent="0.3">
      <c r="S9411" s="6"/>
    </row>
    <row r="9412" spans="19:19" x14ac:dyDescent="0.3">
      <c r="S9412" s="6"/>
    </row>
    <row r="9413" spans="19:19" x14ac:dyDescent="0.3">
      <c r="S9413" s="6"/>
    </row>
    <row r="9414" spans="19:19" x14ac:dyDescent="0.3">
      <c r="S9414" s="6"/>
    </row>
    <row r="9415" spans="19:19" x14ac:dyDescent="0.3">
      <c r="S9415" s="6"/>
    </row>
    <row r="9416" spans="19:19" x14ac:dyDescent="0.3">
      <c r="S9416" s="6"/>
    </row>
    <row r="9417" spans="19:19" x14ac:dyDescent="0.3">
      <c r="S9417" s="6"/>
    </row>
    <row r="9418" spans="19:19" x14ac:dyDescent="0.3">
      <c r="S9418" s="6"/>
    </row>
    <row r="9419" spans="19:19" x14ac:dyDescent="0.3">
      <c r="S9419" s="6"/>
    </row>
    <row r="9420" spans="19:19" x14ac:dyDescent="0.3">
      <c r="S9420" s="6"/>
    </row>
    <row r="9421" spans="19:19" x14ac:dyDescent="0.3">
      <c r="S9421" s="6"/>
    </row>
    <row r="9422" spans="19:19" x14ac:dyDescent="0.3">
      <c r="S9422" s="6"/>
    </row>
    <row r="9423" spans="19:19" x14ac:dyDescent="0.3">
      <c r="S9423" s="6"/>
    </row>
    <row r="9424" spans="19:19" x14ac:dyDescent="0.3">
      <c r="S9424" s="6"/>
    </row>
    <row r="9425" spans="19:19" x14ac:dyDescent="0.3">
      <c r="S9425" s="6"/>
    </row>
    <row r="9426" spans="19:19" x14ac:dyDescent="0.3">
      <c r="S9426" s="6"/>
    </row>
    <row r="9427" spans="19:19" x14ac:dyDescent="0.3">
      <c r="S9427" s="6"/>
    </row>
    <row r="9428" spans="19:19" x14ac:dyDescent="0.3">
      <c r="S9428" s="6"/>
    </row>
    <row r="9429" spans="19:19" x14ac:dyDescent="0.3">
      <c r="S9429" s="6"/>
    </row>
    <row r="9430" spans="19:19" x14ac:dyDescent="0.3">
      <c r="S9430" s="6"/>
    </row>
    <row r="9431" spans="19:19" x14ac:dyDescent="0.3">
      <c r="S9431" s="6"/>
    </row>
    <row r="9432" spans="19:19" x14ac:dyDescent="0.3">
      <c r="S9432" s="6"/>
    </row>
    <row r="9433" spans="19:19" x14ac:dyDescent="0.3">
      <c r="S9433" s="6"/>
    </row>
    <row r="9434" spans="19:19" x14ac:dyDescent="0.3">
      <c r="S9434" s="6"/>
    </row>
    <row r="9435" spans="19:19" x14ac:dyDescent="0.3">
      <c r="S9435" s="6"/>
    </row>
    <row r="9436" spans="19:19" x14ac:dyDescent="0.3">
      <c r="S9436" s="6"/>
    </row>
    <row r="9437" spans="19:19" x14ac:dyDescent="0.3">
      <c r="S9437" s="6"/>
    </row>
    <row r="9438" spans="19:19" x14ac:dyDescent="0.3">
      <c r="S9438" s="6"/>
    </row>
    <row r="9439" spans="19:19" x14ac:dyDescent="0.3">
      <c r="S9439" s="6"/>
    </row>
    <row r="9440" spans="19:19" x14ac:dyDescent="0.3">
      <c r="S9440" s="6"/>
    </row>
    <row r="9441" spans="19:19" x14ac:dyDescent="0.3">
      <c r="S9441" s="6"/>
    </row>
    <row r="9442" spans="19:19" x14ac:dyDescent="0.3">
      <c r="S9442" s="6"/>
    </row>
    <row r="9443" spans="19:19" x14ac:dyDescent="0.3">
      <c r="S9443" s="6"/>
    </row>
    <row r="9444" spans="19:19" x14ac:dyDescent="0.3">
      <c r="S9444" s="6"/>
    </row>
    <row r="9445" spans="19:19" x14ac:dyDescent="0.3">
      <c r="S9445" s="6"/>
    </row>
    <row r="9446" spans="19:19" x14ac:dyDescent="0.3">
      <c r="S9446" s="6"/>
    </row>
    <row r="9447" spans="19:19" x14ac:dyDescent="0.3">
      <c r="S9447" s="6"/>
    </row>
    <row r="9448" spans="19:19" x14ac:dyDescent="0.3">
      <c r="S9448" s="6"/>
    </row>
    <row r="9449" spans="19:19" x14ac:dyDescent="0.3">
      <c r="S9449" s="6"/>
    </row>
    <row r="9450" spans="19:19" x14ac:dyDescent="0.3">
      <c r="S9450" s="6"/>
    </row>
    <row r="9451" spans="19:19" x14ac:dyDescent="0.3">
      <c r="S9451" s="6"/>
    </row>
    <row r="9452" spans="19:19" x14ac:dyDescent="0.3">
      <c r="S9452" s="6"/>
    </row>
    <row r="9453" spans="19:19" x14ac:dyDescent="0.3">
      <c r="S9453" s="6"/>
    </row>
    <row r="9454" spans="19:19" x14ac:dyDescent="0.3">
      <c r="S9454" s="6"/>
    </row>
    <row r="9455" spans="19:19" x14ac:dyDescent="0.3">
      <c r="S9455" s="6"/>
    </row>
    <row r="9456" spans="19:19" x14ac:dyDescent="0.3">
      <c r="S9456" s="6"/>
    </row>
    <row r="9457" spans="19:19" x14ac:dyDescent="0.3">
      <c r="S9457" s="6"/>
    </row>
    <row r="9458" spans="19:19" x14ac:dyDescent="0.3">
      <c r="S9458" s="6"/>
    </row>
    <row r="9459" spans="19:19" x14ac:dyDescent="0.3">
      <c r="S9459" s="6"/>
    </row>
    <row r="9460" spans="19:19" x14ac:dyDescent="0.3">
      <c r="S9460" s="6"/>
    </row>
    <row r="9461" spans="19:19" x14ac:dyDescent="0.3">
      <c r="S9461" s="6"/>
    </row>
    <row r="9462" spans="19:19" x14ac:dyDescent="0.3">
      <c r="S9462" s="6"/>
    </row>
    <row r="9463" spans="19:19" x14ac:dyDescent="0.3">
      <c r="S9463" s="6"/>
    </row>
    <row r="9464" spans="19:19" x14ac:dyDescent="0.3">
      <c r="S9464" s="6"/>
    </row>
    <row r="9465" spans="19:19" x14ac:dyDescent="0.3">
      <c r="S9465" s="6"/>
    </row>
    <row r="9466" spans="19:19" x14ac:dyDescent="0.3">
      <c r="S9466" s="6"/>
    </row>
    <row r="9467" spans="19:19" x14ac:dyDescent="0.3">
      <c r="S9467" s="6"/>
    </row>
    <row r="9468" spans="19:19" x14ac:dyDescent="0.3">
      <c r="S9468" s="6"/>
    </row>
    <row r="9469" spans="19:19" x14ac:dyDescent="0.3">
      <c r="S9469" s="6"/>
    </row>
    <row r="9470" spans="19:19" x14ac:dyDescent="0.3">
      <c r="S9470" s="6"/>
    </row>
    <row r="9471" spans="19:19" x14ac:dyDescent="0.3">
      <c r="S9471" s="6"/>
    </row>
    <row r="9472" spans="19:19" x14ac:dyDescent="0.3">
      <c r="S9472" s="6"/>
    </row>
    <row r="9473" spans="19:19" x14ac:dyDescent="0.3">
      <c r="S9473" s="6"/>
    </row>
    <row r="9474" spans="19:19" x14ac:dyDescent="0.3">
      <c r="S9474" s="6"/>
    </row>
    <row r="9475" spans="19:19" x14ac:dyDescent="0.3">
      <c r="S9475" s="6"/>
    </row>
    <row r="9476" spans="19:19" x14ac:dyDescent="0.3">
      <c r="S9476" s="6"/>
    </row>
    <row r="9477" spans="19:19" x14ac:dyDescent="0.3">
      <c r="S9477" s="6"/>
    </row>
    <row r="9478" spans="19:19" x14ac:dyDescent="0.3">
      <c r="S9478" s="6"/>
    </row>
    <row r="9479" spans="19:19" x14ac:dyDescent="0.3">
      <c r="S9479" s="6"/>
    </row>
    <row r="9480" spans="19:19" x14ac:dyDescent="0.3">
      <c r="S9480" s="6"/>
    </row>
    <row r="9481" spans="19:19" x14ac:dyDescent="0.3">
      <c r="S9481" s="6"/>
    </row>
    <row r="9482" spans="19:19" x14ac:dyDescent="0.3">
      <c r="S9482" s="6"/>
    </row>
    <row r="9483" spans="19:19" x14ac:dyDescent="0.3">
      <c r="S9483" s="6"/>
    </row>
    <row r="9484" spans="19:19" x14ac:dyDescent="0.3">
      <c r="S9484" s="6"/>
    </row>
    <row r="9485" spans="19:19" x14ac:dyDescent="0.3">
      <c r="S9485" s="6"/>
    </row>
    <row r="9486" spans="19:19" x14ac:dyDescent="0.3">
      <c r="S9486" s="6"/>
    </row>
    <row r="9487" spans="19:19" x14ac:dyDescent="0.3">
      <c r="S9487" s="6"/>
    </row>
    <row r="9488" spans="19:19" x14ac:dyDescent="0.3">
      <c r="S9488" s="6"/>
    </row>
    <row r="9489" spans="19:19" x14ac:dyDescent="0.3">
      <c r="S9489" s="6"/>
    </row>
    <row r="9490" spans="19:19" x14ac:dyDescent="0.3">
      <c r="S9490" s="6"/>
    </row>
    <row r="9491" spans="19:19" x14ac:dyDescent="0.3">
      <c r="S9491" s="6"/>
    </row>
    <row r="9492" spans="19:19" x14ac:dyDescent="0.3">
      <c r="S9492" s="6"/>
    </row>
    <row r="9493" spans="19:19" x14ac:dyDescent="0.3">
      <c r="S9493" s="6"/>
    </row>
    <row r="9494" spans="19:19" x14ac:dyDescent="0.3">
      <c r="S9494" s="6"/>
    </row>
    <row r="9495" spans="19:19" x14ac:dyDescent="0.3">
      <c r="S9495" s="6"/>
    </row>
    <row r="9496" spans="19:19" x14ac:dyDescent="0.3">
      <c r="S9496" s="6"/>
    </row>
    <row r="9497" spans="19:19" x14ac:dyDescent="0.3">
      <c r="S9497" s="6"/>
    </row>
    <row r="9498" spans="19:19" x14ac:dyDescent="0.3">
      <c r="S9498" s="6"/>
    </row>
    <row r="9499" spans="19:19" x14ac:dyDescent="0.3">
      <c r="S9499" s="6"/>
    </row>
    <row r="9500" spans="19:19" x14ac:dyDescent="0.3">
      <c r="S9500" s="6"/>
    </row>
    <row r="9501" spans="19:19" x14ac:dyDescent="0.3">
      <c r="S9501" s="6"/>
    </row>
    <row r="9502" spans="19:19" x14ac:dyDescent="0.3">
      <c r="S9502" s="6"/>
    </row>
    <row r="9503" spans="19:19" x14ac:dyDescent="0.3">
      <c r="S9503" s="6"/>
    </row>
    <row r="9504" spans="19:19" x14ac:dyDescent="0.3">
      <c r="S9504" s="6"/>
    </row>
    <row r="9505" spans="19:19" x14ac:dyDescent="0.3">
      <c r="S9505" s="6"/>
    </row>
    <row r="9506" spans="19:19" x14ac:dyDescent="0.3">
      <c r="S9506" s="6"/>
    </row>
    <row r="9507" spans="19:19" x14ac:dyDescent="0.3">
      <c r="S9507" s="6"/>
    </row>
    <row r="9508" spans="19:19" x14ac:dyDescent="0.3">
      <c r="S9508" s="6"/>
    </row>
    <row r="9509" spans="19:19" x14ac:dyDescent="0.3">
      <c r="S9509" s="6"/>
    </row>
    <row r="9510" spans="19:19" x14ac:dyDescent="0.3">
      <c r="S9510" s="6"/>
    </row>
    <row r="9511" spans="19:19" x14ac:dyDescent="0.3">
      <c r="S9511" s="6"/>
    </row>
    <row r="9512" spans="19:19" x14ac:dyDescent="0.3">
      <c r="S9512" s="6"/>
    </row>
    <row r="9513" spans="19:19" x14ac:dyDescent="0.3">
      <c r="S9513" s="6"/>
    </row>
    <row r="9514" spans="19:19" x14ac:dyDescent="0.3">
      <c r="S9514" s="6"/>
    </row>
    <row r="9515" spans="19:19" x14ac:dyDescent="0.3">
      <c r="S9515" s="6"/>
    </row>
    <row r="9516" spans="19:19" x14ac:dyDescent="0.3">
      <c r="S9516" s="6"/>
    </row>
    <row r="9517" spans="19:19" x14ac:dyDescent="0.3">
      <c r="S9517" s="6"/>
    </row>
    <row r="9518" spans="19:19" x14ac:dyDescent="0.3">
      <c r="S9518" s="6"/>
    </row>
    <row r="9519" spans="19:19" x14ac:dyDescent="0.3">
      <c r="S9519" s="6"/>
    </row>
    <row r="9520" spans="19:19" x14ac:dyDescent="0.3">
      <c r="S9520" s="6"/>
    </row>
    <row r="9521" spans="19:19" x14ac:dyDescent="0.3">
      <c r="S9521" s="6"/>
    </row>
    <row r="9522" spans="19:19" x14ac:dyDescent="0.3">
      <c r="S9522" s="6"/>
    </row>
    <row r="9523" spans="19:19" x14ac:dyDescent="0.3">
      <c r="S9523" s="6"/>
    </row>
    <row r="9524" spans="19:19" x14ac:dyDescent="0.3">
      <c r="S9524" s="6"/>
    </row>
    <row r="9525" spans="19:19" x14ac:dyDescent="0.3">
      <c r="S9525" s="6"/>
    </row>
    <row r="9526" spans="19:19" x14ac:dyDescent="0.3">
      <c r="S9526" s="6"/>
    </row>
    <row r="9527" spans="19:19" x14ac:dyDescent="0.3">
      <c r="S9527" s="6"/>
    </row>
    <row r="9528" spans="19:19" x14ac:dyDescent="0.3">
      <c r="S9528" s="6"/>
    </row>
    <row r="9529" spans="19:19" x14ac:dyDescent="0.3">
      <c r="S9529" s="6"/>
    </row>
    <row r="9530" spans="19:19" x14ac:dyDescent="0.3">
      <c r="S9530" s="6"/>
    </row>
    <row r="9531" spans="19:19" x14ac:dyDescent="0.3">
      <c r="S9531" s="6"/>
    </row>
    <row r="9532" spans="19:19" x14ac:dyDescent="0.3">
      <c r="S9532" s="6"/>
    </row>
    <row r="9533" spans="19:19" x14ac:dyDescent="0.3">
      <c r="S9533" s="6"/>
    </row>
    <row r="9534" spans="19:19" x14ac:dyDescent="0.3">
      <c r="S9534" s="6"/>
    </row>
    <row r="9535" spans="19:19" x14ac:dyDescent="0.3">
      <c r="S9535" s="6"/>
    </row>
    <row r="9536" spans="19:19" x14ac:dyDescent="0.3">
      <c r="S9536" s="6"/>
    </row>
    <row r="9537" spans="19:19" x14ac:dyDescent="0.3">
      <c r="S9537" s="6"/>
    </row>
    <row r="9538" spans="19:19" x14ac:dyDescent="0.3">
      <c r="S9538" s="6"/>
    </row>
    <row r="9539" spans="19:19" x14ac:dyDescent="0.3">
      <c r="S9539" s="6"/>
    </row>
    <row r="9540" spans="19:19" x14ac:dyDescent="0.3">
      <c r="S9540" s="6"/>
    </row>
    <row r="9541" spans="19:19" x14ac:dyDescent="0.3">
      <c r="S9541" s="6"/>
    </row>
    <row r="9542" spans="19:19" x14ac:dyDescent="0.3">
      <c r="S9542" s="6"/>
    </row>
    <row r="9543" spans="19:19" x14ac:dyDescent="0.3">
      <c r="S9543" s="6"/>
    </row>
    <row r="9544" spans="19:19" x14ac:dyDescent="0.3">
      <c r="S9544" s="6"/>
    </row>
    <row r="9545" spans="19:19" x14ac:dyDescent="0.3">
      <c r="S9545" s="6"/>
    </row>
    <row r="9546" spans="19:19" x14ac:dyDescent="0.3">
      <c r="S9546" s="6"/>
    </row>
    <row r="9547" spans="19:19" x14ac:dyDescent="0.3">
      <c r="S9547" s="6"/>
    </row>
    <row r="9548" spans="19:19" x14ac:dyDescent="0.3">
      <c r="S9548" s="6"/>
    </row>
    <row r="9549" spans="19:19" x14ac:dyDescent="0.3">
      <c r="S9549" s="6"/>
    </row>
    <row r="9550" spans="19:19" x14ac:dyDescent="0.3">
      <c r="S9550" s="6"/>
    </row>
    <row r="9551" spans="19:19" x14ac:dyDescent="0.3">
      <c r="S9551" s="6"/>
    </row>
    <row r="9552" spans="19:19" x14ac:dyDescent="0.3">
      <c r="S9552" s="6"/>
    </row>
    <row r="9553" spans="19:19" x14ac:dyDescent="0.3">
      <c r="S9553" s="6"/>
    </row>
    <row r="9554" spans="19:19" x14ac:dyDescent="0.3">
      <c r="S9554" s="6"/>
    </row>
    <row r="9555" spans="19:19" x14ac:dyDescent="0.3">
      <c r="S9555" s="6"/>
    </row>
    <row r="9556" spans="19:19" x14ac:dyDescent="0.3">
      <c r="S9556" s="6"/>
    </row>
    <row r="9557" spans="19:19" x14ac:dyDescent="0.3">
      <c r="S9557" s="6"/>
    </row>
    <row r="9558" spans="19:19" x14ac:dyDescent="0.3">
      <c r="S9558" s="6"/>
    </row>
    <row r="9559" spans="19:19" x14ac:dyDescent="0.3">
      <c r="S9559" s="6"/>
    </row>
    <row r="9560" spans="19:19" x14ac:dyDescent="0.3">
      <c r="S9560" s="6"/>
    </row>
    <row r="9561" spans="19:19" x14ac:dyDescent="0.3">
      <c r="S9561" s="6"/>
    </row>
    <row r="9562" spans="19:19" x14ac:dyDescent="0.3">
      <c r="S9562" s="6"/>
    </row>
    <row r="9563" spans="19:19" x14ac:dyDescent="0.3">
      <c r="S9563" s="6"/>
    </row>
    <row r="9564" spans="19:19" x14ac:dyDescent="0.3">
      <c r="S9564" s="6"/>
    </row>
    <row r="9565" spans="19:19" x14ac:dyDescent="0.3">
      <c r="S9565" s="6"/>
    </row>
    <row r="9566" spans="19:19" x14ac:dyDescent="0.3">
      <c r="S9566" s="6"/>
    </row>
    <row r="9567" spans="19:19" x14ac:dyDescent="0.3">
      <c r="S9567" s="6"/>
    </row>
    <row r="9568" spans="19:19" x14ac:dyDescent="0.3">
      <c r="S9568" s="6"/>
    </row>
    <row r="9569" spans="19:19" x14ac:dyDescent="0.3">
      <c r="S9569" s="6"/>
    </row>
    <row r="9570" spans="19:19" x14ac:dyDescent="0.3">
      <c r="S9570" s="6"/>
    </row>
    <row r="9571" spans="19:19" x14ac:dyDescent="0.3">
      <c r="S9571" s="6"/>
    </row>
    <row r="9572" spans="19:19" x14ac:dyDescent="0.3">
      <c r="S9572" s="6"/>
    </row>
    <row r="9573" spans="19:19" x14ac:dyDescent="0.3">
      <c r="S9573" s="6"/>
    </row>
    <row r="9574" spans="19:19" x14ac:dyDescent="0.3">
      <c r="S9574" s="6"/>
    </row>
    <row r="9575" spans="19:19" x14ac:dyDescent="0.3">
      <c r="S9575" s="6"/>
    </row>
    <row r="9576" spans="19:19" x14ac:dyDescent="0.3">
      <c r="S9576" s="6"/>
    </row>
    <row r="9577" spans="19:19" x14ac:dyDescent="0.3">
      <c r="S9577" s="6"/>
    </row>
    <row r="9578" spans="19:19" x14ac:dyDescent="0.3">
      <c r="S9578" s="6"/>
    </row>
    <row r="9579" spans="19:19" x14ac:dyDescent="0.3">
      <c r="S9579" s="6"/>
    </row>
    <row r="9580" spans="19:19" x14ac:dyDescent="0.3">
      <c r="S9580" s="6"/>
    </row>
    <row r="9581" spans="19:19" x14ac:dyDescent="0.3">
      <c r="S9581" s="6"/>
    </row>
    <row r="9582" spans="19:19" x14ac:dyDescent="0.3">
      <c r="S9582" s="6"/>
    </row>
    <row r="9583" spans="19:19" x14ac:dyDescent="0.3">
      <c r="S9583" s="6"/>
    </row>
    <row r="9584" spans="19:19" x14ac:dyDescent="0.3">
      <c r="S9584" s="6"/>
    </row>
    <row r="9585" spans="19:19" x14ac:dyDescent="0.3">
      <c r="S9585" s="6"/>
    </row>
    <row r="9586" spans="19:19" x14ac:dyDescent="0.3">
      <c r="S9586" s="6"/>
    </row>
    <row r="9587" spans="19:19" x14ac:dyDescent="0.3">
      <c r="S9587" s="6"/>
    </row>
    <row r="9588" spans="19:19" x14ac:dyDescent="0.3">
      <c r="S9588" s="6"/>
    </row>
    <row r="9589" spans="19:19" x14ac:dyDescent="0.3">
      <c r="S9589" s="6"/>
    </row>
    <row r="9590" spans="19:19" x14ac:dyDescent="0.3">
      <c r="S9590" s="6"/>
    </row>
    <row r="9591" spans="19:19" x14ac:dyDescent="0.3">
      <c r="S9591" s="6"/>
    </row>
    <row r="9592" spans="19:19" x14ac:dyDescent="0.3">
      <c r="S9592" s="6"/>
    </row>
    <row r="9593" spans="19:19" x14ac:dyDescent="0.3">
      <c r="S9593" s="6"/>
    </row>
    <row r="9594" spans="19:19" x14ac:dyDescent="0.3">
      <c r="S9594" s="6"/>
    </row>
    <row r="9595" spans="19:19" x14ac:dyDescent="0.3">
      <c r="S9595" s="6"/>
    </row>
    <row r="9596" spans="19:19" x14ac:dyDescent="0.3">
      <c r="S9596" s="6"/>
    </row>
    <row r="9597" spans="19:19" x14ac:dyDescent="0.3">
      <c r="S9597" s="6"/>
    </row>
    <row r="9598" spans="19:19" x14ac:dyDescent="0.3">
      <c r="S9598" s="6"/>
    </row>
    <row r="9599" spans="19:19" x14ac:dyDescent="0.3">
      <c r="S9599" s="6"/>
    </row>
    <row r="9600" spans="19:19" x14ac:dyDescent="0.3">
      <c r="S9600" s="6"/>
    </row>
    <row r="9601" spans="19:19" x14ac:dyDescent="0.3">
      <c r="S9601" s="6"/>
    </row>
    <row r="9602" spans="19:19" x14ac:dyDescent="0.3">
      <c r="S9602" s="6"/>
    </row>
    <row r="9603" spans="19:19" x14ac:dyDescent="0.3">
      <c r="S9603" s="6"/>
    </row>
    <row r="9604" spans="19:19" x14ac:dyDescent="0.3">
      <c r="S9604" s="6"/>
    </row>
    <row r="9605" spans="19:19" x14ac:dyDescent="0.3">
      <c r="S9605" s="6"/>
    </row>
    <row r="9606" spans="19:19" x14ac:dyDescent="0.3">
      <c r="S9606" s="6"/>
    </row>
    <row r="9607" spans="19:19" x14ac:dyDescent="0.3">
      <c r="S9607" s="6"/>
    </row>
    <row r="9608" spans="19:19" x14ac:dyDescent="0.3">
      <c r="S9608" s="6"/>
    </row>
    <row r="9609" spans="19:19" x14ac:dyDescent="0.3">
      <c r="S9609" s="6"/>
    </row>
    <row r="9610" spans="19:19" x14ac:dyDescent="0.3">
      <c r="S9610" s="6"/>
    </row>
    <row r="9611" spans="19:19" x14ac:dyDescent="0.3">
      <c r="S9611" s="6"/>
    </row>
    <row r="9612" spans="19:19" x14ac:dyDescent="0.3">
      <c r="S9612" s="6"/>
    </row>
    <row r="9613" spans="19:19" x14ac:dyDescent="0.3">
      <c r="S9613" s="6"/>
    </row>
    <row r="9614" spans="19:19" x14ac:dyDescent="0.3">
      <c r="S9614" s="6"/>
    </row>
    <row r="9615" spans="19:19" x14ac:dyDescent="0.3">
      <c r="S9615" s="6"/>
    </row>
    <row r="9616" spans="19:19" x14ac:dyDescent="0.3">
      <c r="S9616" s="6"/>
    </row>
    <row r="9617" spans="19:19" x14ac:dyDescent="0.3">
      <c r="S9617" s="6"/>
    </row>
    <row r="9618" spans="19:19" x14ac:dyDescent="0.3">
      <c r="S9618" s="6"/>
    </row>
    <row r="9619" spans="19:19" x14ac:dyDescent="0.3">
      <c r="S9619" s="6"/>
    </row>
    <row r="9620" spans="19:19" x14ac:dyDescent="0.3">
      <c r="S9620" s="6"/>
    </row>
    <row r="9621" spans="19:19" x14ac:dyDescent="0.3">
      <c r="S9621" s="6"/>
    </row>
    <row r="9622" spans="19:19" x14ac:dyDescent="0.3">
      <c r="S9622" s="6"/>
    </row>
    <row r="9623" spans="19:19" x14ac:dyDescent="0.3">
      <c r="S9623" s="6"/>
    </row>
    <row r="9624" spans="19:19" x14ac:dyDescent="0.3">
      <c r="S9624" s="6"/>
    </row>
    <row r="9625" spans="19:19" x14ac:dyDescent="0.3">
      <c r="S9625" s="6"/>
    </row>
    <row r="9626" spans="19:19" x14ac:dyDescent="0.3">
      <c r="S9626" s="6"/>
    </row>
    <row r="9627" spans="19:19" x14ac:dyDescent="0.3">
      <c r="S9627" s="6"/>
    </row>
    <row r="9628" spans="19:19" x14ac:dyDescent="0.3">
      <c r="S9628" s="6"/>
    </row>
    <row r="9629" spans="19:19" x14ac:dyDescent="0.3">
      <c r="S9629" s="6"/>
    </row>
    <row r="9630" spans="19:19" x14ac:dyDescent="0.3">
      <c r="S9630" s="6"/>
    </row>
    <row r="9631" spans="19:19" x14ac:dyDescent="0.3">
      <c r="S9631" s="6"/>
    </row>
    <row r="9632" spans="19:19" x14ac:dyDescent="0.3">
      <c r="S9632" s="6"/>
    </row>
    <row r="9633" spans="19:19" x14ac:dyDescent="0.3">
      <c r="S9633" s="6"/>
    </row>
    <row r="9634" spans="19:19" x14ac:dyDescent="0.3">
      <c r="S9634" s="6"/>
    </row>
    <row r="9635" spans="19:19" x14ac:dyDescent="0.3">
      <c r="S9635" s="6"/>
    </row>
    <row r="9636" spans="19:19" x14ac:dyDescent="0.3">
      <c r="S9636" s="6"/>
    </row>
    <row r="9637" spans="19:19" x14ac:dyDescent="0.3">
      <c r="S9637" s="6"/>
    </row>
    <row r="9638" spans="19:19" x14ac:dyDescent="0.3">
      <c r="S9638" s="6"/>
    </row>
    <row r="9639" spans="19:19" x14ac:dyDescent="0.3">
      <c r="S9639" s="6"/>
    </row>
    <row r="9640" spans="19:19" x14ac:dyDescent="0.3">
      <c r="S9640" s="6"/>
    </row>
    <row r="9641" spans="19:19" x14ac:dyDescent="0.3">
      <c r="S9641" s="6"/>
    </row>
    <row r="9642" spans="19:19" x14ac:dyDescent="0.3">
      <c r="S9642" s="6"/>
    </row>
    <row r="9643" spans="19:19" x14ac:dyDescent="0.3">
      <c r="S9643" s="6"/>
    </row>
    <row r="9644" spans="19:19" x14ac:dyDescent="0.3">
      <c r="S9644" s="6"/>
    </row>
    <row r="9645" spans="19:19" x14ac:dyDescent="0.3">
      <c r="S9645" s="6"/>
    </row>
    <row r="9646" spans="19:19" x14ac:dyDescent="0.3">
      <c r="S9646" s="6"/>
    </row>
    <row r="9647" spans="19:19" x14ac:dyDescent="0.3">
      <c r="S9647" s="6"/>
    </row>
    <row r="9648" spans="19:19" x14ac:dyDescent="0.3">
      <c r="S9648" s="6"/>
    </row>
    <row r="9649" spans="19:19" x14ac:dyDescent="0.3">
      <c r="S9649" s="6"/>
    </row>
    <row r="9650" spans="19:19" x14ac:dyDescent="0.3">
      <c r="S9650" s="6"/>
    </row>
    <row r="9651" spans="19:19" x14ac:dyDescent="0.3">
      <c r="S9651" s="6"/>
    </row>
    <row r="9652" spans="19:19" x14ac:dyDescent="0.3">
      <c r="S9652" s="6"/>
    </row>
    <row r="9653" spans="19:19" x14ac:dyDescent="0.3">
      <c r="S9653" s="6"/>
    </row>
    <row r="9654" spans="19:19" x14ac:dyDescent="0.3">
      <c r="S9654" s="6"/>
    </row>
    <row r="9655" spans="19:19" x14ac:dyDescent="0.3">
      <c r="S9655" s="6"/>
    </row>
    <row r="9656" spans="19:19" x14ac:dyDescent="0.3">
      <c r="S9656" s="6"/>
    </row>
    <row r="9657" spans="19:19" x14ac:dyDescent="0.3">
      <c r="S9657" s="6"/>
    </row>
    <row r="9658" spans="19:19" x14ac:dyDescent="0.3">
      <c r="S9658" s="6"/>
    </row>
    <row r="9659" spans="19:19" x14ac:dyDescent="0.3">
      <c r="S9659" s="6"/>
    </row>
    <row r="9660" spans="19:19" x14ac:dyDescent="0.3">
      <c r="S9660" s="6"/>
    </row>
    <row r="9661" spans="19:19" x14ac:dyDescent="0.3">
      <c r="S9661" s="6"/>
    </row>
    <row r="9662" spans="19:19" x14ac:dyDescent="0.3">
      <c r="S9662" s="6"/>
    </row>
    <row r="9663" spans="19:19" x14ac:dyDescent="0.3">
      <c r="S9663" s="6"/>
    </row>
    <row r="9664" spans="19:19" x14ac:dyDescent="0.3">
      <c r="S9664" s="6"/>
    </row>
    <row r="9665" spans="19:19" x14ac:dyDescent="0.3">
      <c r="S9665" s="6"/>
    </row>
    <row r="9666" spans="19:19" x14ac:dyDescent="0.3">
      <c r="S9666" s="6"/>
    </row>
    <row r="9667" spans="19:19" x14ac:dyDescent="0.3">
      <c r="S9667" s="6"/>
    </row>
    <row r="9668" spans="19:19" x14ac:dyDescent="0.3">
      <c r="S9668" s="6"/>
    </row>
    <row r="9669" spans="19:19" x14ac:dyDescent="0.3">
      <c r="S9669" s="6"/>
    </row>
    <row r="9670" spans="19:19" x14ac:dyDescent="0.3">
      <c r="S9670" s="6"/>
    </row>
    <row r="9671" spans="19:19" x14ac:dyDescent="0.3">
      <c r="S9671" s="6"/>
    </row>
    <row r="9672" spans="19:19" x14ac:dyDescent="0.3">
      <c r="S9672" s="6"/>
    </row>
    <row r="9673" spans="19:19" x14ac:dyDescent="0.3">
      <c r="S9673" s="6"/>
    </row>
    <row r="9674" spans="19:19" x14ac:dyDescent="0.3">
      <c r="S9674" s="6"/>
    </row>
    <row r="9675" spans="19:19" x14ac:dyDescent="0.3">
      <c r="S9675" s="6"/>
    </row>
    <row r="9676" spans="19:19" x14ac:dyDescent="0.3">
      <c r="S9676" s="6"/>
    </row>
    <row r="9677" spans="19:19" x14ac:dyDescent="0.3">
      <c r="S9677" s="6"/>
    </row>
    <row r="9678" spans="19:19" x14ac:dyDescent="0.3">
      <c r="S9678" s="6"/>
    </row>
    <row r="9679" spans="19:19" x14ac:dyDescent="0.3">
      <c r="S9679" s="6"/>
    </row>
    <row r="9680" spans="19:19" x14ac:dyDescent="0.3">
      <c r="S9680" s="6"/>
    </row>
    <row r="9681" spans="19:19" x14ac:dyDescent="0.3">
      <c r="S9681" s="6"/>
    </row>
    <row r="9682" spans="19:19" x14ac:dyDescent="0.3">
      <c r="S9682" s="6"/>
    </row>
    <row r="9683" spans="19:19" x14ac:dyDescent="0.3">
      <c r="S9683" s="6"/>
    </row>
    <row r="9684" spans="19:19" x14ac:dyDescent="0.3">
      <c r="S9684" s="6"/>
    </row>
    <row r="9685" spans="19:19" x14ac:dyDescent="0.3">
      <c r="S9685" s="6"/>
    </row>
    <row r="9686" spans="19:19" x14ac:dyDescent="0.3">
      <c r="S9686" s="6"/>
    </row>
    <row r="9687" spans="19:19" x14ac:dyDescent="0.3">
      <c r="S9687" s="6"/>
    </row>
    <row r="9688" spans="19:19" x14ac:dyDescent="0.3">
      <c r="S9688" s="6"/>
    </row>
    <row r="9689" spans="19:19" x14ac:dyDescent="0.3">
      <c r="S9689" s="6"/>
    </row>
    <row r="9690" spans="19:19" x14ac:dyDescent="0.3">
      <c r="S9690" s="6"/>
    </row>
    <row r="9691" spans="19:19" x14ac:dyDescent="0.3">
      <c r="S9691" s="6"/>
    </row>
    <row r="9692" spans="19:19" x14ac:dyDescent="0.3">
      <c r="S9692" s="6"/>
    </row>
    <row r="9693" spans="19:19" x14ac:dyDescent="0.3">
      <c r="S9693" s="6"/>
    </row>
    <row r="9694" spans="19:19" x14ac:dyDescent="0.3">
      <c r="S9694" s="6"/>
    </row>
    <row r="9695" spans="19:19" x14ac:dyDescent="0.3">
      <c r="S9695" s="6"/>
    </row>
    <row r="9696" spans="19:19" x14ac:dyDescent="0.3">
      <c r="S9696" s="6"/>
    </row>
    <row r="9697" spans="19:19" x14ac:dyDescent="0.3">
      <c r="S9697" s="6"/>
    </row>
    <row r="9698" spans="19:19" x14ac:dyDescent="0.3">
      <c r="S9698" s="6"/>
    </row>
    <row r="9699" spans="19:19" x14ac:dyDescent="0.3">
      <c r="S9699" s="6"/>
    </row>
    <row r="9700" spans="19:19" x14ac:dyDescent="0.3">
      <c r="S9700" s="6"/>
    </row>
    <row r="9701" spans="19:19" x14ac:dyDescent="0.3">
      <c r="S9701" s="6"/>
    </row>
    <row r="9702" spans="19:19" x14ac:dyDescent="0.3">
      <c r="S9702" s="6"/>
    </row>
    <row r="9703" spans="19:19" x14ac:dyDescent="0.3">
      <c r="S9703" s="6"/>
    </row>
    <row r="9704" spans="19:19" x14ac:dyDescent="0.3">
      <c r="S9704" s="6"/>
    </row>
    <row r="9705" spans="19:19" x14ac:dyDescent="0.3">
      <c r="S9705" s="6"/>
    </row>
    <row r="9706" spans="19:19" x14ac:dyDescent="0.3">
      <c r="S9706" s="6"/>
    </row>
    <row r="9707" spans="19:19" x14ac:dyDescent="0.3">
      <c r="S9707" s="6"/>
    </row>
    <row r="9708" spans="19:19" x14ac:dyDescent="0.3">
      <c r="S9708" s="6"/>
    </row>
    <row r="9709" spans="19:19" x14ac:dyDescent="0.3">
      <c r="S9709" s="6"/>
    </row>
    <row r="9710" spans="19:19" x14ac:dyDescent="0.3">
      <c r="S9710" s="6"/>
    </row>
    <row r="9711" spans="19:19" x14ac:dyDescent="0.3">
      <c r="S9711" s="6"/>
    </row>
    <row r="9712" spans="19:19" x14ac:dyDescent="0.3">
      <c r="S9712" s="6"/>
    </row>
    <row r="9713" spans="19:19" x14ac:dyDescent="0.3">
      <c r="S9713" s="6"/>
    </row>
    <row r="9714" spans="19:19" x14ac:dyDescent="0.3">
      <c r="S9714" s="6"/>
    </row>
    <row r="9715" spans="19:19" x14ac:dyDescent="0.3">
      <c r="S9715" s="6"/>
    </row>
    <row r="9716" spans="19:19" x14ac:dyDescent="0.3">
      <c r="S9716" s="6"/>
    </row>
    <row r="9717" spans="19:19" x14ac:dyDescent="0.3">
      <c r="S9717" s="6"/>
    </row>
    <row r="9718" spans="19:19" x14ac:dyDescent="0.3">
      <c r="S9718" s="6"/>
    </row>
    <row r="9719" spans="19:19" x14ac:dyDescent="0.3">
      <c r="S9719" s="6"/>
    </row>
    <row r="9720" spans="19:19" x14ac:dyDescent="0.3">
      <c r="S9720" s="6"/>
    </row>
    <row r="9721" spans="19:19" x14ac:dyDescent="0.3">
      <c r="S9721" s="6"/>
    </row>
    <row r="9722" spans="19:19" x14ac:dyDescent="0.3">
      <c r="S9722" s="6"/>
    </row>
    <row r="9723" spans="19:19" x14ac:dyDescent="0.3">
      <c r="S9723" s="6"/>
    </row>
    <row r="9724" spans="19:19" x14ac:dyDescent="0.3">
      <c r="S9724" s="6"/>
    </row>
    <row r="9725" spans="19:19" x14ac:dyDescent="0.3">
      <c r="S9725" s="6"/>
    </row>
    <row r="9726" spans="19:19" x14ac:dyDescent="0.3">
      <c r="S9726" s="6"/>
    </row>
    <row r="9727" spans="19:19" x14ac:dyDescent="0.3">
      <c r="S9727" s="6"/>
    </row>
    <row r="9728" spans="19:19" x14ac:dyDescent="0.3">
      <c r="S9728" s="6"/>
    </row>
    <row r="9729" spans="19:19" x14ac:dyDescent="0.3">
      <c r="S9729" s="6"/>
    </row>
    <row r="9730" spans="19:19" x14ac:dyDescent="0.3">
      <c r="S9730" s="6"/>
    </row>
    <row r="9731" spans="19:19" x14ac:dyDescent="0.3">
      <c r="S9731" s="6"/>
    </row>
    <row r="9732" spans="19:19" x14ac:dyDescent="0.3">
      <c r="S9732" s="6"/>
    </row>
    <row r="9733" spans="19:19" x14ac:dyDescent="0.3">
      <c r="S9733" s="6"/>
    </row>
    <row r="9734" spans="19:19" x14ac:dyDescent="0.3">
      <c r="S9734" s="6"/>
    </row>
    <row r="9735" spans="19:19" x14ac:dyDescent="0.3">
      <c r="S9735" s="6"/>
    </row>
    <row r="9736" spans="19:19" x14ac:dyDescent="0.3">
      <c r="S9736" s="6"/>
    </row>
    <row r="9737" spans="19:19" x14ac:dyDescent="0.3">
      <c r="S9737" s="6"/>
    </row>
    <row r="9738" spans="19:19" x14ac:dyDescent="0.3">
      <c r="S9738" s="6"/>
    </row>
    <row r="9739" spans="19:19" x14ac:dyDescent="0.3">
      <c r="S9739" s="6"/>
    </row>
    <row r="9740" spans="19:19" x14ac:dyDescent="0.3">
      <c r="S9740" s="6"/>
    </row>
    <row r="9741" spans="19:19" x14ac:dyDescent="0.3">
      <c r="S9741" s="6"/>
    </row>
    <row r="9742" spans="19:19" x14ac:dyDescent="0.3">
      <c r="S9742" s="6"/>
    </row>
    <row r="9743" spans="19:19" x14ac:dyDescent="0.3">
      <c r="S9743" s="6"/>
    </row>
    <row r="9744" spans="19:19" x14ac:dyDescent="0.3">
      <c r="S9744" s="6"/>
    </row>
    <row r="9745" spans="19:19" x14ac:dyDescent="0.3">
      <c r="S9745" s="6"/>
    </row>
    <row r="9746" spans="19:19" x14ac:dyDescent="0.3">
      <c r="S9746" s="6"/>
    </row>
    <row r="9747" spans="19:19" x14ac:dyDescent="0.3">
      <c r="S9747" s="6"/>
    </row>
    <row r="9748" spans="19:19" x14ac:dyDescent="0.3">
      <c r="S9748" s="6"/>
    </row>
    <row r="9749" spans="19:19" x14ac:dyDescent="0.3">
      <c r="S9749" s="6"/>
    </row>
    <row r="9750" spans="19:19" x14ac:dyDescent="0.3">
      <c r="S9750" s="6"/>
    </row>
    <row r="9751" spans="19:19" x14ac:dyDescent="0.3">
      <c r="S9751" s="6"/>
    </row>
    <row r="9752" spans="19:19" x14ac:dyDescent="0.3">
      <c r="S9752" s="6"/>
    </row>
    <row r="9753" spans="19:19" x14ac:dyDescent="0.3">
      <c r="S9753" s="6"/>
    </row>
    <row r="9754" spans="19:19" x14ac:dyDescent="0.3">
      <c r="S9754" s="6"/>
    </row>
    <row r="9755" spans="19:19" x14ac:dyDescent="0.3">
      <c r="S9755" s="6"/>
    </row>
    <row r="9756" spans="19:19" x14ac:dyDescent="0.3">
      <c r="S9756" s="6"/>
    </row>
    <row r="9757" spans="19:19" x14ac:dyDescent="0.3">
      <c r="S9757" s="6"/>
    </row>
    <row r="9758" spans="19:19" x14ac:dyDescent="0.3">
      <c r="S9758" s="6"/>
    </row>
    <row r="9759" spans="19:19" x14ac:dyDescent="0.3">
      <c r="S9759" s="6"/>
    </row>
    <row r="9760" spans="19:19" x14ac:dyDescent="0.3">
      <c r="S9760" s="6"/>
    </row>
    <row r="9761" spans="19:19" x14ac:dyDescent="0.3">
      <c r="S9761" s="6"/>
    </row>
    <row r="9762" spans="19:19" x14ac:dyDescent="0.3">
      <c r="S9762" s="6"/>
    </row>
    <row r="9763" spans="19:19" x14ac:dyDescent="0.3">
      <c r="S9763" s="6"/>
    </row>
    <row r="9764" spans="19:19" x14ac:dyDescent="0.3">
      <c r="S9764" s="6"/>
    </row>
    <row r="9765" spans="19:19" x14ac:dyDescent="0.3">
      <c r="S9765" s="6"/>
    </row>
    <row r="9766" spans="19:19" x14ac:dyDescent="0.3">
      <c r="S9766" s="6"/>
    </row>
    <row r="9767" spans="19:19" x14ac:dyDescent="0.3">
      <c r="S9767" s="6"/>
    </row>
    <row r="9768" spans="19:19" x14ac:dyDescent="0.3">
      <c r="S9768" s="6"/>
    </row>
    <row r="9769" spans="19:19" x14ac:dyDescent="0.3">
      <c r="S9769" s="6"/>
    </row>
    <row r="9770" spans="19:19" x14ac:dyDescent="0.3">
      <c r="S9770" s="6"/>
    </row>
    <row r="9771" spans="19:19" x14ac:dyDescent="0.3">
      <c r="S9771" s="6"/>
    </row>
    <row r="9772" spans="19:19" x14ac:dyDescent="0.3">
      <c r="S9772" s="6"/>
    </row>
    <row r="9773" spans="19:19" x14ac:dyDescent="0.3">
      <c r="S9773" s="6"/>
    </row>
    <row r="9774" spans="19:19" x14ac:dyDescent="0.3">
      <c r="S9774" s="6"/>
    </row>
    <row r="9775" spans="19:19" x14ac:dyDescent="0.3">
      <c r="S9775" s="6"/>
    </row>
    <row r="9776" spans="19:19" x14ac:dyDescent="0.3">
      <c r="S9776" s="6"/>
    </row>
    <row r="9777" spans="19:19" x14ac:dyDescent="0.3">
      <c r="S9777" s="6"/>
    </row>
    <row r="9778" spans="19:19" x14ac:dyDescent="0.3">
      <c r="S9778" s="6"/>
    </row>
    <row r="9779" spans="19:19" x14ac:dyDescent="0.3">
      <c r="S9779" s="6"/>
    </row>
    <row r="9780" spans="19:19" x14ac:dyDescent="0.3">
      <c r="S9780" s="6"/>
    </row>
    <row r="9781" spans="19:19" x14ac:dyDescent="0.3">
      <c r="S9781" s="6"/>
    </row>
    <row r="9782" spans="19:19" x14ac:dyDescent="0.3">
      <c r="S9782" s="6"/>
    </row>
    <row r="9783" spans="19:19" x14ac:dyDescent="0.3">
      <c r="S9783" s="6"/>
    </row>
    <row r="9784" spans="19:19" x14ac:dyDescent="0.3">
      <c r="S9784" s="6"/>
    </row>
    <row r="9785" spans="19:19" x14ac:dyDescent="0.3">
      <c r="S9785" s="6"/>
    </row>
    <row r="9786" spans="19:19" x14ac:dyDescent="0.3">
      <c r="S9786" s="6"/>
    </row>
    <row r="9787" spans="19:19" x14ac:dyDescent="0.3">
      <c r="S9787" s="6"/>
    </row>
    <row r="9788" spans="19:19" x14ac:dyDescent="0.3">
      <c r="S9788" s="6"/>
    </row>
    <row r="9789" spans="19:19" x14ac:dyDescent="0.3">
      <c r="S9789" s="6"/>
    </row>
    <row r="9790" spans="19:19" x14ac:dyDescent="0.3">
      <c r="S9790" s="6"/>
    </row>
    <row r="9791" spans="19:19" x14ac:dyDescent="0.3">
      <c r="S9791" s="6"/>
    </row>
    <row r="9792" spans="19:19" x14ac:dyDescent="0.3">
      <c r="S9792" s="6"/>
    </row>
    <row r="9793" spans="19:19" x14ac:dyDescent="0.3">
      <c r="S9793" s="6"/>
    </row>
    <row r="9794" spans="19:19" x14ac:dyDescent="0.3">
      <c r="S9794" s="6"/>
    </row>
    <row r="9795" spans="19:19" x14ac:dyDescent="0.3">
      <c r="S9795" s="6"/>
    </row>
    <row r="9796" spans="19:19" x14ac:dyDescent="0.3">
      <c r="S9796" s="6"/>
    </row>
    <row r="9797" spans="19:19" x14ac:dyDescent="0.3">
      <c r="S9797" s="6"/>
    </row>
    <row r="9798" spans="19:19" x14ac:dyDescent="0.3">
      <c r="S9798" s="6"/>
    </row>
    <row r="9799" spans="19:19" x14ac:dyDescent="0.3">
      <c r="S9799" s="6"/>
    </row>
    <row r="9800" spans="19:19" x14ac:dyDescent="0.3">
      <c r="S9800" s="6"/>
    </row>
    <row r="9801" spans="19:19" x14ac:dyDescent="0.3">
      <c r="S9801" s="6"/>
    </row>
    <row r="9802" spans="19:19" x14ac:dyDescent="0.3">
      <c r="S9802" s="6"/>
    </row>
    <row r="9803" spans="19:19" x14ac:dyDescent="0.3">
      <c r="S9803" s="6"/>
    </row>
    <row r="9804" spans="19:19" x14ac:dyDescent="0.3">
      <c r="S9804" s="6"/>
    </row>
    <row r="9805" spans="19:19" x14ac:dyDescent="0.3">
      <c r="S9805" s="6"/>
    </row>
    <row r="9806" spans="19:19" x14ac:dyDescent="0.3">
      <c r="S9806" s="6"/>
    </row>
    <row r="9807" spans="19:19" x14ac:dyDescent="0.3">
      <c r="S9807" s="6"/>
    </row>
    <row r="9808" spans="19:19" x14ac:dyDescent="0.3">
      <c r="S9808" s="6"/>
    </row>
    <row r="9809" spans="19:19" x14ac:dyDescent="0.3">
      <c r="S9809" s="6"/>
    </row>
    <row r="9810" spans="19:19" x14ac:dyDescent="0.3">
      <c r="S9810" s="6"/>
    </row>
    <row r="9811" spans="19:19" x14ac:dyDescent="0.3">
      <c r="S9811" s="6"/>
    </row>
    <row r="9812" spans="19:19" x14ac:dyDescent="0.3">
      <c r="S9812" s="6"/>
    </row>
    <row r="9813" spans="19:19" x14ac:dyDescent="0.3">
      <c r="S9813" s="6"/>
    </row>
    <row r="9814" spans="19:19" x14ac:dyDescent="0.3">
      <c r="S9814" s="6"/>
    </row>
    <row r="9815" spans="19:19" x14ac:dyDescent="0.3">
      <c r="S9815" s="6"/>
    </row>
    <row r="9816" spans="19:19" x14ac:dyDescent="0.3">
      <c r="S9816" s="6"/>
    </row>
    <row r="9817" spans="19:19" x14ac:dyDescent="0.3">
      <c r="S9817" s="6"/>
    </row>
    <row r="9818" spans="19:19" x14ac:dyDescent="0.3">
      <c r="S9818" s="6"/>
    </row>
    <row r="9819" spans="19:19" x14ac:dyDescent="0.3">
      <c r="S9819" s="6"/>
    </row>
    <row r="9820" spans="19:19" x14ac:dyDescent="0.3">
      <c r="S9820" s="6"/>
    </row>
    <row r="9821" spans="19:19" x14ac:dyDescent="0.3">
      <c r="S9821" s="6"/>
    </row>
    <row r="9822" spans="19:19" x14ac:dyDescent="0.3">
      <c r="S9822" s="6"/>
    </row>
    <row r="9823" spans="19:19" x14ac:dyDescent="0.3">
      <c r="S9823" s="6"/>
    </row>
    <row r="9824" spans="19:19" x14ac:dyDescent="0.3">
      <c r="S9824" s="6"/>
    </row>
    <row r="9825" spans="19:19" x14ac:dyDescent="0.3">
      <c r="S9825" s="6"/>
    </row>
    <row r="9826" spans="19:19" x14ac:dyDescent="0.3">
      <c r="S9826" s="6"/>
    </row>
    <row r="9827" spans="19:19" x14ac:dyDescent="0.3">
      <c r="S9827" s="6"/>
    </row>
    <row r="9828" spans="19:19" x14ac:dyDescent="0.3">
      <c r="S9828" s="6"/>
    </row>
    <row r="9829" spans="19:19" x14ac:dyDescent="0.3">
      <c r="S9829" s="6"/>
    </row>
    <row r="9830" spans="19:19" x14ac:dyDescent="0.3">
      <c r="S9830" s="6"/>
    </row>
    <row r="9831" spans="19:19" x14ac:dyDescent="0.3">
      <c r="S9831" s="6"/>
    </row>
    <row r="9832" spans="19:19" x14ac:dyDescent="0.3">
      <c r="S9832" s="6"/>
    </row>
    <row r="9833" spans="19:19" x14ac:dyDescent="0.3">
      <c r="S9833" s="6"/>
    </row>
    <row r="9834" spans="19:19" x14ac:dyDescent="0.3">
      <c r="S9834" s="6"/>
    </row>
    <row r="9835" spans="19:19" x14ac:dyDescent="0.3">
      <c r="S9835" s="6"/>
    </row>
    <row r="9836" spans="19:19" x14ac:dyDescent="0.3">
      <c r="S9836" s="6"/>
    </row>
    <row r="9837" spans="19:19" x14ac:dyDescent="0.3">
      <c r="S9837" s="6"/>
    </row>
    <row r="9838" spans="19:19" x14ac:dyDescent="0.3">
      <c r="S9838" s="6"/>
    </row>
    <row r="9839" spans="19:19" x14ac:dyDescent="0.3">
      <c r="S9839" s="6"/>
    </row>
    <row r="9840" spans="19:19" x14ac:dyDescent="0.3">
      <c r="S9840" s="6"/>
    </row>
    <row r="9841" spans="19:19" x14ac:dyDescent="0.3">
      <c r="S9841" s="6"/>
    </row>
    <row r="9842" spans="19:19" x14ac:dyDescent="0.3">
      <c r="S9842" s="6"/>
    </row>
    <row r="9843" spans="19:19" x14ac:dyDescent="0.3">
      <c r="S9843" s="6"/>
    </row>
    <row r="9844" spans="19:19" x14ac:dyDescent="0.3">
      <c r="S9844" s="6"/>
    </row>
    <row r="9845" spans="19:19" x14ac:dyDescent="0.3">
      <c r="S9845" s="6"/>
    </row>
    <row r="9846" spans="19:19" x14ac:dyDescent="0.3">
      <c r="S9846" s="6"/>
    </row>
    <row r="9847" spans="19:19" x14ac:dyDescent="0.3">
      <c r="S9847" s="6"/>
    </row>
    <row r="9848" spans="19:19" x14ac:dyDescent="0.3">
      <c r="S9848" s="6"/>
    </row>
    <row r="9849" spans="19:19" x14ac:dyDescent="0.3">
      <c r="S9849" s="6"/>
    </row>
    <row r="9850" spans="19:19" x14ac:dyDescent="0.3">
      <c r="S9850" s="6"/>
    </row>
    <row r="9851" spans="19:19" x14ac:dyDescent="0.3">
      <c r="S9851" s="6"/>
    </row>
    <row r="9852" spans="19:19" x14ac:dyDescent="0.3">
      <c r="S9852" s="6"/>
    </row>
    <row r="9853" spans="19:19" x14ac:dyDescent="0.3">
      <c r="S9853" s="6"/>
    </row>
    <row r="9854" spans="19:19" x14ac:dyDescent="0.3">
      <c r="S9854" s="6"/>
    </row>
    <row r="9855" spans="19:19" x14ac:dyDescent="0.3">
      <c r="S9855" s="6"/>
    </row>
    <row r="9856" spans="19:19" x14ac:dyDescent="0.3">
      <c r="S9856" s="6"/>
    </row>
    <row r="9857" spans="19:19" x14ac:dyDescent="0.3">
      <c r="S9857" s="6"/>
    </row>
    <row r="9858" spans="19:19" x14ac:dyDescent="0.3">
      <c r="S9858" s="6"/>
    </row>
    <row r="9859" spans="19:19" x14ac:dyDescent="0.3">
      <c r="S9859" s="6"/>
    </row>
    <row r="9860" spans="19:19" x14ac:dyDescent="0.3">
      <c r="S9860" s="6"/>
    </row>
    <row r="9861" spans="19:19" x14ac:dyDescent="0.3">
      <c r="S9861" s="6"/>
    </row>
    <row r="9862" spans="19:19" x14ac:dyDescent="0.3">
      <c r="S9862" s="6"/>
    </row>
    <row r="9863" spans="19:19" x14ac:dyDescent="0.3">
      <c r="S9863" s="6"/>
    </row>
    <row r="9864" spans="19:19" x14ac:dyDescent="0.3">
      <c r="S9864" s="6"/>
    </row>
    <row r="9865" spans="19:19" x14ac:dyDescent="0.3">
      <c r="S9865" s="6"/>
    </row>
    <row r="9866" spans="19:19" x14ac:dyDescent="0.3">
      <c r="S9866" s="6"/>
    </row>
    <row r="9867" spans="19:19" x14ac:dyDescent="0.3">
      <c r="S9867" s="6"/>
    </row>
    <row r="9868" spans="19:19" x14ac:dyDescent="0.3">
      <c r="S9868" s="6"/>
    </row>
    <row r="9869" spans="19:19" x14ac:dyDescent="0.3">
      <c r="S9869" s="6"/>
    </row>
    <row r="9870" spans="19:19" x14ac:dyDescent="0.3">
      <c r="S9870" s="6"/>
    </row>
    <row r="9871" spans="19:19" x14ac:dyDescent="0.3">
      <c r="S9871" s="6"/>
    </row>
    <row r="9872" spans="19:19" x14ac:dyDescent="0.3">
      <c r="S9872" s="6"/>
    </row>
    <row r="9873" spans="19:19" x14ac:dyDescent="0.3">
      <c r="S9873" s="6"/>
    </row>
    <row r="9874" spans="19:19" x14ac:dyDescent="0.3">
      <c r="S9874" s="6"/>
    </row>
    <row r="9875" spans="19:19" x14ac:dyDescent="0.3">
      <c r="S9875" s="6"/>
    </row>
    <row r="9876" spans="19:19" x14ac:dyDescent="0.3">
      <c r="S9876" s="6"/>
    </row>
    <row r="9877" spans="19:19" x14ac:dyDescent="0.3">
      <c r="S9877" s="6"/>
    </row>
    <row r="9878" spans="19:19" x14ac:dyDescent="0.3">
      <c r="S9878" s="6"/>
    </row>
    <row r="9879" spans="19:19" x14ac:dyDescent="0.3">
      <c r="S9879" s="6"/>
    </row>
    <row r="9880" spans="19:19" x14ac:dyDescent="0.3">
      <c r="S9880" s="6"/>
    </row>
    <row r="9881" spans="19:19" x14ac:dyDescent="0.3">
      <c r="S9881" s="6"/>
    </row>
    <row r="9882" spans="19:19" x14ac:dyDescent="0.3">
      <c r="S9882" s="6"/>
    </row>
    <row r="9883" spans="19:19" x14ac:dyDescent="0.3">
      <c r="S9883" s="6"/>
    </row>
    <row r="9884" spans="19:19" x14ac:dyDescent="0.3">
      <c r="S9884" s="6"/>
    </row>
    <row r="9885" spans="19:19" x14ac:dyDescent="0.3">
      <c r="S9885" s="6"/>
    </row>
    <row r="9886" spans="19:19" x14ac:dyDescent="0.3">
      <c r="S9886" s="6"/>
    </row>
    <row r="9887" spans="19:19" x14ac:dyDescent="0.3">
      <c r="S9887" s="6"/>
    </row>
    <row r="9888" spans="19:19" x14ac:dyDescent="0.3">
      <c r="S9888" s="6"/>
    </row>
    <row r="9889" spans="19:19" x14ac:dyDescent="0.3">
      <c r="S9889" s="6"/>
    </row>
    <row r="9890" spans="19:19" x14ac:dyDescent="0.3">
      <c r="S9890" s="6"/>
    </row>
    <row r="9891" spans="19:19" x14ac:dyDescent="0.3">
      <c r="S9891" s="6"/>
    </row>
    <row r="9892" spans="19:19" x14ac:dyDescent="0.3">
      <c r="S9892" s="6"/>
    </row>
    <row r="9893" spans="19:19" x14ac:dyDescent="0.3">
      <c r="S9893" s="6"/>
    </row>
    <row r="9894" spans="19:19" x14ac:dyDescent="0.3">
      <c r="S9894" s="6"/>
    </row>
    <row r="9895" spans="19:19" x14ac:dyDescent="0.3">
      <c r="S9895" s="6"/>
    </row>
    <row r="9896" spans="19:19" x14ac:dyDescent="0.3">
      <c r="S9896" s="6"/>
    </row>
    <row r="9897" spans="19:19" x14ac:dyDescent="0.3">
      <c r="S9897" s="6"/>
    </row>
    <row r="9898" spans="19:19" x14ac:dyDescent="0.3">
      <c r="S9898" s="6"/>
    </row>
    <row r="9899" spans="19:19" x14ac:dyDescent="0.3">
      <c r="S9899" s="6"/>
    </row>
    <row r="9900" spans="19:19" x14ac:dyDescent="0.3">
      <c r="S9900" s="6"/>
    </row>
    <row r="9901" spans="19:19" x14ac:dyDescent="0.3">
      <c r="S9901" s="6"/>
    </row>
    <row r="9902" spans="19:19" x14ac:dyDescent="0.3">
      <c r="S9902" s="6"/>
    </row>
    <row r="9903" spans="19:19" x14ac:dyDescent="0.3">
      <c r="S9903" s="6"/>
    </row>
    <row r="9904" spans="19:19" x14ac:dyDescent="0.3">
      <c r="S9904" s="6"/>
    </row>
    <row r="9905" spans="19:19" x14ac:dyDescent="0.3">
      <c r="S9905" s="6"/>
    </row>
    <row r="9906" spans="19:19" x14ac:dyDescent="0.3">
      <c r="S9906" s="6"/>
    </row>
    <row r="9907" spans="19:19" x14ac:dyDescent="0.3">
      <c r="S9907" s="6"/>
    </row>
    <row r="9908" spans="19:19" x14ac:dyDescent="0.3">
      <c r="S9908" s="6"/>
    </row>
    <row r="9909" spans="19:19" x14ac:dyDescent="0.3">
      <c r="S9909" s="6"/>
    </row>
    <row r="9910" spans="19:19" x14ac:dyDescent="0.3">
      <c r="S9910" s="6"/>
    </row>
    <row r="9911" spans="19:19" x14ac:dyDescent="0.3">
      <c r="S9911" s="6"/>
    </row>
    <row r="9912" spans="19:19" x14ac:dyDescent="0.3">
      <c r="S9912" s="6"/>
    </row>
    <row r="9913" spans="19:19" x14ac:dyDescent="0.3">
      <c r="S9913" s="6"/>
    </row>
    <row r="9914" spans="19:19" x14ac:dyDescent="0.3">
      <c r="S9914" s="6"/>
    </row>
    <row r="9915" spans="19:19" x14ac:dyDescent="0.3">
      <c r="S9915" s="6"/>
    </row>
    <row r="9916" spans="19:19" x14ac:dyDescent="0.3">
      <c r="S9916" s="6"/>
    </row>
    <row r="9917" spans="19:19" x14ac:dyDescent="0.3">
      <c r="S9917" s="6"/>
    </row>
    <row r="9918" spans="19:19" x14ac:dyDescent="0.3">
      <c r="S9918" s="6"/>
    </row>
    <row r="9919" spans="19:19" x14ac:dyDescent="0.3">
      <c r="S9919" s="6"/>
    </row>
    <row r="9920" spans="19:19" x14ac:dyDescent="0.3">
      <c r="S9920" s="6"/>
    </row>
    <row r="9921" spans="19:19" x14ac:dyDescent="0.3">
      <c r="S9921" s="6"/>
    </row>
    <row r="9922" spans="19:19" x14ac:dyDescent="0.3">
      <c r="S9922" s="6"/>
    </row>
    <row r="9923" spans="19:19" x14ac:dyDescent="0.3">
      <c r="S9923" s="6"/>
    </row>
    <row r="9924" spans="19:19" x14ac:dyDescent="0.3">
      <c r="S9924" s="6"/>
    </row>
    <row r="9925" spans="19:19" x14ac:dyDescent="0.3">
      <c r="S9925" s="6"/>
    </row>
    <row r="9926" spans="19:19" x14ac:dyDescent="0.3">
      <c r="S9926" s="6"/>
    </row>
    <row r="9927" spans="19:19" x14ac:dyDescent="0.3">
      <c r="S9927" s="6"/>
    </row>
    <row r="9928" spans="19:19" x14ac:dyDescent="0.3">
      <c r="S9928" s="6"/>
    </row>
    <row r="9929" spans="19:19" x14ac:dyDescent="0.3">
      <c r="S9929" s="6"/>
    </row>
    <row r="9930" spans="19:19" x14ac:dyDescent="0.3">
      <c r="S9930" s="6"/>
    </row>
    <row r="9931" spans="19:19" x14ac:dyDescent="0.3">
      <c r="S9931" s="6"/>
    </row>
    <row r="9932" spans="19:19" x14ac:dyDescent="0.3">
      <c r="S9932" s="6"/>
    </row>
    <row r="9933" spans="19:19" x14ac:dyDescent="0.3">
      <c r="S9933" s="6"/>
    </row>
    <row r="9934" spans="19:19" x14ac:dyDescent="0.3">
      <c r="S9934" s="6"/>
    </row>
    <row r="9935" spans="19:19" x14ac:dyDescent="0.3">
      <c r="S9935" s="6"/>
    </row>
    <row r="9936" spans="19:19" x14ac:dyDescent="0.3">
      <c r="S9936" s="6"/>
    </row>
    <row r="9937" spans="19:19" x14ac:dyDescent="0.3">
      <c r="S9937" s="6"/>
    </row>
    <row r="9938" spans="19:19" x14ac:dyDescent="0.3">
      <c r="S9938" s="6"/>
    </row>
    <row r="9939" spans="19:19" x14ac:dyDescent="0.3">
      <c r="S9939" s="6"/>
    </row>
    <row r="9940" spans="19:19" x14ac:dyDescent="0.3">
      <c r="S9940" s="6"/>
    </row>
    <row r="9941" spans="19:19" x14ac:dyDescent="0.3">
      <c r="S9941" s="6"/>
    </row>
    <row r="9942" spans="19:19" x14ac:dyDescent="0.3">
      <c r="S9942" s="6"/>
    </row>
    <row r="9943" spans="19:19" x14ac:dyDescent="0.3">
      <c r="S9943" s="6"/>
    </row>
    <row r="9944" spans="19:19" x14ac:dyDescent="0.3">
      <c r="S9944" s="6"/>
    </row>
    <row r="9945" spans="19:19" x14ac:dyDescent="0.3">
      <c r="S9945" s="6"/>
    </row>
    <row r="9946" spans="19:19" x14ac:dyDescent="0.3">
      <c r="S9946" s="6"/>
    </row>
    <row r="9947" spans="19:19" x14ac:dyDescent="0.3">
      <c r="S9947" s="6"/>
    </row>
    <row r="9948" spans="19:19" x14ac:dyDescent="0.3">
      <c r="S9948" s="6"/>
    </row>
    <row r="9949" spans="19:19" x14ac:dyDescent="0.3">
      <c r="S9949" s="6"/>
    </row>
    <row r="9950" spans="19:19" x14ac:dyDescent="0.3">
      <c r="S9950" s="6"/>
    </row>
    <row r="9951" spans="19:19" x14ac:dyDescent="0.3">
      <c r="S9951" s="6"/>
    </row>
    <row r="9952" spans="19:19" x14ac:dyDescent="0.3">
      <c r="S9952" s="6"/>
    </row>
    <row r="9953" spans="19:19" x14ac:dyDescent="0.3">
      <c r="S9953" s="6"/>
    </row>
    <row r="9954" spans="19:19" x14ac:dyDescent="0.3">
      <c r="S9954" s="6"/>
    </row>
    <row r="9955" spans="19:19" x14ac:dyDescent="0.3">
      <c r="S9955" s="6"/>
    </row>
    <row r="9956" spans="19:19" x14ac:dyDescent="0.3">
      <c r="S9956" s="6"/>
    </row>
    <row r="9957" spans="19:19" x14ac:dyDescent="0.3">
      <c r="S9957" s="6"/>
    </row>
    <row r="9958" spans="19:19" x14ac:dyDescent="0.3">
      <c r="S9958" s="6"/>
    </row>
    <row r="9959" spans="19:19" x14ac:dyDescent="0.3">
      <c r="S9959" s="6"/>
    </row>
    <row r="9960" spans="19:19" x14ac:dyDescent="0.3">
      <c r="S9960" s="6"/>
    </row>
    <row r="9961" spans="19:19" x14ac:dyDescent="0.3">
      <c r="S9961" s="6"/>
    </row>
    <row r="9962" spans="19:19" x14ac:dyDescent="0.3">
      <c r="S9962" s="6"/>
    </row>
    <row r="9963" spans="19:19" x14ac:dyDescent="0.3">
      <c r="S9963" s="6"/>
    </row>
    <row r="9964" spans="19:19" x14ac:dyDescent="0.3">
      <c r="S9964" s="6"/>
    </row>
    <row r="9965" spans="19:19" x14ac:dyDescent="0.3">
      <c r="S9965" s="6"/>
    </row>
    <row r="9966" spans="19:19" x14ac:dyDescent="0.3">
      <c r="S9966" s="6"/>
    </row>
    <row r="9967" spans="19:19" x14ac:dyDescent="0.3">
      <c r="S9967" s="6"/>
    </row>
    <row r="9968" spans="19:19" x14ac:dyDescent="0.3">
      <c r="S9968" s="6"/>
    </row>
    <row r="9969" spans="19:19" x14ac:dyDescent="0.3">
      <c r="S9969" s="6"/>
    </row>
    <row r="9970" spans="19:19" x14ac:dyDescent="0.3">
      <c r="S9970" s="6"/>
    </row>
    <row r="9971" spans="19:19" x14ac:dyDescent="0.3">
      <c r="S9971" s="6"/>
    </row>
    <row r="9972" spans="19:19" x14ac:dyDescent="0.3">
      <c r="S9972" s="6"/>
    </row>
    <row r="9973" spans="19:19" x14ac:dyDescent="0.3">
      <c r="S9973" s="6"/>
    </row>
    <row r="9974" spans="19:19" x14ac:dyDescent="0.3">
      <c r="S9974" s="6"/>
    </row>
    <row r="9975" spans="19:19" x14ac:dyDescent="0.3">
      <c r="S9975" s="6"/>
    </row>
    <row r="9976" spans="19:19" x14ac:dyDescent="0.3">
      <c r="S9976" s="6"/>
    </row>
    <row r="9977" spans="19:19" x14ac:dyDescent="0.3">
      <c r="S9977" s="6"/>
    </row>
    <row r="9978" spans="19:19" x14ac:dyDescent="0.3">
      <c r="S9978" s="6"/>
    </row>
    <row r="9979" spans="19:19" x14ac:dyDescent="0.3">
      <c r="S9979" s="6"/>
    </row>
    <row r="9980" spans="19:19" x14ac:dyDescent="0.3">
      <c r="S9980" s="6"/>
    </row>
    <row r="9981" spans="19:19" x14ac:dyDescent="0.3">
      <c r="S9981" s="6"/>
    </row>
    <row r="9982" spans="19:19" x14ac:dyDescent="0.3">
      <c r="S9982" s="6"/>
    </row>
    <row r="9983" spans="19:19" x14ac:dyDescent="0.3">
      <c r="S9983" s="6"/>
    </row>
    <row r="9984" spans="19:19" x14ac:dyDescent="0.3">
      <c r="S9984" s="6"/>
    </row>
    <row r="9985" spans="19:19" x14ac:dyDescent="0.3">
      <c r="S9985" s="6"/>
    </row>
    <row r="9986" spans="19:19" x14ac:dyDescent="0.3">
      <c r="S9986" s="6"/>
    </row>
    <row r="9987" spans="19:19" x14ac:dyDescent="0.3">
      <c r="S9987" s="6"/>
    </row>
    <row r="9988" spans="19:19" x14ac:dyDescent="0.3">
      <c r="S9988" s="6"/>
    </row>
    <row r="9989" spans="19:19" x14ac:dyDescent="0.3">
      <c r="S9989" s="6"/>
    </row>
    <row r="9990" spans="19:19" x14ac:dyDescent="0.3">
      <c r="S9990" s="6"/>
    </row>
    <row r="9991" spans="19:19" x14ac:dyDescent="0.3">
      <c r="S9991" s="6"/>
    </row>
    <row r="9992" spans="19:19" x14ac:dyDescent="0.3">
      <c r="S9992" s="6"/>
    </row>
    <row r="9993" spans="19:19" x14ac:dyDescent="0.3">
      <c r="S9993" s="6"/>
    </row>
    <row r="9994" spans="19:19" x14ac:dyDescent="0.3">
      <c r="S9994" s="6"/>
    </row>
    <row r="9995" spans="19:19" x14ac:dyDescent="0.3">
      <c r="S9995" s="6"/>
    </row>
    <row r="9996" spans="19:19" x14ac:dyDescent="0.3">
      <c r="S9996" s="6"/>
    </row>
    <row r="9997" spans="19:19" x14ac:dyDescent="0.3">
      <c r="S9997" s="6"/>
    </row>
    <row r="9998" spans="19:19" x14ac:dyDescent="0.3">
      <c r="S9998" s="6"/>
    </row>
    <row r="9999" spans="19:19" x14ac:dyDescent="0.3">
      <c r="S9999" s="6"/>
    </row>
    <row r="10000" spans="19:19" x14ac:dyDescent="0.3">
      <c r="S10000" s="6"/>
    </row>
    <row r="10001" spans="19:19" x14ac:dyDescent="0.3">
      <c r="S10001" s="6"/>
    </row>
    <row r="10002" spans="19:19" x14ac:dyDescent="0.3">
      <c r="S10002" s="6"/>
    </row>
    <row r="10003" spans="19:19" x14ac:dyDescent="0.3">
      <c r="S10003" s="6"/>
    </row>
    <row r="10004" spans="19:19" x14ac:dyDescent="0.3">
      <c r="S10004" s="6"/>
    </row>
    <row r="10005" spans="19:19" x14ac:dyDescent="0.3">
      <c r="S10005" s="6"/>
    </row>
    <row r="10006" spans="19:19" x14ac:dyDescent="0.3">
      <c r="S10006" s="6"/>
    </row>
    <row r="10007" spans="19:19" x14ac:dyDescent="0.3">
      <c r="S10007" s="6"/>
    </row>
    <row r="10008" spans="19:19" x14ac:dyDescent="0.3">
      <c r="S10008" s="6"/>
    </row>
    <row r="10009" spans="19:19" x14ac:dyDescent="0.3">
      <c r="S10009" s="6"/>
    </row>
    <row r="10010" spans="19:19" x14ac:dyDescent="0.3">
      <c r="S10010" s="6"/>
    </row>
    <row r="10011" spans="19:19" x14ac:dyDescent="0.3">
      <c r="S10011" s="6"/>
    </row>
    <row r="10012" spans="19:19" x14ac:dyDescent="0.3">
      <c r="S10012" s="6"/>
    </row>
    <row r="10013" spans="19:19" x14ac:dyDescent="0.3">
      <c r="S10013" s="6"/>
    </row>
    <row r="10014" spans="19:19" x14ac:dyDescent="0.3">
      <c r="S10014" s="6"/>
    </row>
    <row r="10015" spans="19:19" x14ac:dyDescent="0.3">
      <c r="S10015" s="6"/>
    </row>
    <row r="10016" spans="19:19" x14ac:dyDescent="0.3">
      <c r="S10016" s="6"/>
    </row>
    <row r="10017" spans="19:19" x14ac:dyDescent="0.3">
      <c r="S10017" s="6"/>
    </row>
    <row r="10018" spans="19:19" x14ac:dyDescent="0.3">
      <c r="S10018" s="6"/>
    </row>
    <row r="10019" spans="19:19" x14ac:dyDescent="0.3">
      <c r="S10019" s="6"/>
    </row>
    <row r="10020" spans="19:19" x14ac:dyDescent="0.3">
      <c r="S10020" s="6"/>
    </row>
    <row r="10021" spans="19:19" x14ac:dyDescent="0.3">
      <c r="S10021" s="6"/>
    </row>
    <row r="10022" spans="19:19" x14ac:dyDescent="0.3">
      <c r="S10022" s="6"/>
    </row>
    <row r="10023" spans="19:19" x14ac:dyDescent="0.3">
      <c r="S10023" s="6"/>
    </row>
    <row r="10024" spans="19:19" x14ac:dyDescent="0.3">
      <c r="S10024" s="6"/>
    </row>
    <row r="10025" spans="19:19" x14ac:dyDescent="0.3">
      <c r="S10025" s="6"/>
    </row>
    <row r="10026" spans="19:19" x14ac:dyDescent="0.3">
      <c r="S10026" s="6"/>
    </row>
    <row r="10027" spans="19:19" x14ac:dyDescent="0.3">
      <c r="S10027" s="6"/>
    </row>
    <row r="10028" spans="19:19" x14ac:dyDescent="0.3">
      <c r="S10028" s="6"/>
    </row>
    <row r="10029" spans="19:19" x14ac:dyDescent="0.3">
      <c r="S10029" s="6"/>
    </row>
    <row r="10030" spans="19:19" x14ac:dyDescent="0.3">
      <c r="S10030" s="6"/>
    </row>
    <row r="10031" spans="19:19" x14ac:dyDescent="0.3">
      <c r="S10031" s="6"/>
    </row>
    <row r="10032" spans="19:19" x14ac:dyDescent="0.3">
      <c r="S10032" s="6"/>
    </row>
    <row r="10033" spans="19:19" x14ac:dyDescent="0.3">
      <c r="S10033" s="6"/>
    </row>
    <row r="10034" spans="19:19" x14ac:dyDescent="0.3">
      <c r="S10034" s="6"/>
    </row>
    <row r="10035" spans="19:19" x14ac:dyDescent="0.3">
      <c r="S10035" s="6"/>
    </row>
    <row r="10036" spans="19:19" x14ac:dyDescent="0.3">
      <c r="S10036" s="6"/>
    </row>
    <row r="10037" spans="19:19" x14ac:dyDescent="0.3">
      <c r="S10037" s="6"/>
    </row>
    <row r="10038" spans="19:19" x14ac:dyDescent="0.3">
      <c r="S10038" s="6"/>
    </row>
    <row r="10039" spans="19:19" x14ac:dyDescent="0.3">
      <c r="S10039" s="6"/>
    </row>
    <row r="10040" spans="19:19" x14ac:dyDescent="0.3">
      <c r="S10040" s="6"/>
    </row>
  </sheetData>
  <phoneticPr fontId="3" type="noConversion"/>
  <conditionalFormatting sqref="P12:P41">
    <cfRule type="cellIs" dxfId="6" priority="1" operator="between">
      <formula>1</formula>
      <formula>30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" operator="containsText" id="{F9F38F09-3BBE-4E0D-83D5-589D6E62D9B2}">
            <xm:f>NOT(ISERROR(SEARCH(0,T40)))</xm:f>
            <xm:f>0</xm:f>
            <x14:dxf>
              <fill>
                <patternFill>
                  <bgColor rgb="FFFF0000"/>
                </patternFill>
              </fill>
            </x14:dxf>
          </x14:cfRule>
          <x14:cfRule type="containsText" priority="6" operator="containsText" id="{D2A75974-7263-46FF-8EBE-E86F85E64C71}">
            <xm:f>NOT(ISERROR(SEARCH(1,T40)))</xm:f>
            <xm:f>1</xm:f>
            <x14:dxf>
              <fill>
                <patternFill>
                  <bgColor rgb="FF00B050"/>
                </patternFill>
              </fill>
            </x14:dxf>
          </x14:cfRule>
          <xm:sqref>T40</xm:sqref>
        </x14:conditionalFormatting>
        <x14:conditionalFormatting xmlns:xm="http://schemas.microsoft.com/office/excel/2006/main">
          <x14:cfRule type="containsText" priority="11" operator="containsText" id="{5692F60D-400F-42CF-AAB3-EB6DFEECB627}">
            <xm:f>NOT(ISERROR(SEARCH(0,O12)))</xm:f>
            <xm:f>0</xm:f>
            <x14:dxf>
              <fill>
                <patternFill>
                  <bgColor rgb="FFFF0000"/>
                </patternFill>
              </fill>
            </x14:dxf>
          </x14:cfRule>
          <x14:cfRule type="containsText" priority="12" operator="containsText" id="{045CDD61-6C80-422F-918E-CDE977412989}">
            <xm:f>NOT(ISERROR(SEARCH(1,O12)))</xm:f>
            <xm:f>1</xm:f>
            <x14:dxf>
              <fill>
                <patternFill>
                  <bgColor rgb="FF00B050"/>
                </patternFill>
              </fill>
            </x14:dxf>
          </x14:cfRule>
          <xm:sqref>O12:O41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5C252-3004-4E08-BB16-33DAC850B596}">
  <sheetPr codeName="Sheet4"/>
  <dimension ref="A1:C3001"/>
  <sheetViews>
    <sheetView zoomScale="280" zoomScaleNormal="280" workbookViewId="0">
      <selection sqref="A1:A3001"/>
    </sheetView>
  </sheetViews>
  <sheetFormatPr defaultRowHeight="14.4" x14ac:dyDescent="0.3"/>
  <cols>
    <col min="2" max="2" width="15" style="7" customWidth="1"/>
    <col min="3" max="3" width="14.109375" customWidth="1"/>
    <col min="5" max="5" width="13.33203125" customWidth="1"/>
    <col min="6" max="6" width="13.109375" customWidth="1"/>
    <col min="7" max="7" width="20.33203125" customWidth="1"/>
  </cols>
  <sheetData>
    <row r="1" spans="1:3" x14ac:dyDescent="0.3">
      <c r="A1" t="s">
        <v>24</v>
      </c>
      <c r="B1" s="7" t="s">
        <v>23</v>
      </c>
      <c r="C1" t="s">
        <v>37</v>
      </c>
    </row>
    <row r="2" spans="1:3" x14ac:dyDescent="0.3">
      <c r="A2">
        <v>1</v>
      </c>
      <c r="B2" s="7">
        <f ca="1">Control!I8</f>
        <v>2586415.2633402385</v>
      </c>
      <c r="C2">
        <f ca="1">IF(B2=0,0,1)</f>
        <v>1</v>
      </c>
    </row>
    <row r="3" spans="1:3" x14ac:dyDescent="0.3">
      <c r="A3">
        <v>2</v>
      </c>
      <c r="B3" s="7">
        <f t="dataTable" ref="B3:B3001" dt2D="0" dtr="0" r1="O9" ca="1"/>
        <v>1468644.841860577</v>
      </c>
      <c r="C3">
        <f t="shared" ref="C3:C66" si="0">IF(B3=0,0,1)</f>
        <v>1</v>
      </c>
    </row>
    <row r="4" spans="1:3" x14ac:dyDescent="0.3">
      <c r="A4">
        <v>3</v>
      </c>
      <c r="B4" s="7">
        <v>102759.26452067614</v>
      </c>
      <c r="C4">
        <f t="shared" si="0"/>
        <v>1</v>
      </c>
    </row>
    <row r="5" spans="1:3" x14ac:dyDescent="0.3">
      <c r="A5">
        <v>4</v>
      </c>
      <c r="B5" s="7">
        <v>9389097.598466184</v>
      </c>
      <c r="C5">
        <f t="shared" si="0"/>
        <v>1</v>
      </c>
    </row>
    <row r="6" spans="1:3" x14ac:dyDescent="0.3">
      <c r="A6">
        <v>5</v>
      </c>
      <c r="B6" s="7">
        <v>7339082.5709299706</v>
      </c>
      <c r="C6">
        <f t="shared" si="0"/>
        <v>1</v>
      </c>
    </row>
    <row r="7" spans="1:3" x14ac:dyDescent="0.3">
      <c r="A7">
        <v>6</v>
      </c>
      <c r="B7" s="7">
        <v>8697250.2948359381</v>
      </c>
      <c r="C7">
        <f t="shared" si="0"/>
        <v>1</v>
      </c>
    </row>
    <row r="8" spans="1:3" x14ac:dyDescent="0.3">
      <c r="A8">
        <v>7</v>
      </c>
      <c r="B8" s="7">
        <v>11932700.568199014</v>
      </c>
      <c r="C8">
        <f t="shared" si="0"/>
        <v>1</v>
      </c>
    </row>
    <row r="9" spans="1:3" x14ac:dyDescent="0.3">
      <c r="A9">
        <v>8</v>
      </c>
      <c r="B9" s="7">
        <v>6487864.895773924</v>
      </c>
      <c r="C9">
        <f t="shared" si="0"/>
        <v>1</v>
      </c>
    </row>
    <row r="10" spans="1:3" x14ac:dyDescent="0.3">
      <c r="A10">
        <v>9</v>
      </c>
      <c r="B10" s="7">
        <v>692369.67058881093</v>
      </c>
      <c r="C10">
        <f t="shared" si="0"/>
        <v>1</v>
      </c>
    </row>
    <row r="11" spans="1:3" x14ac:dyDescent="0.3">
      <c r="A11">
        <v>10</v>
      </c>
      <c r="B11" s="7">
        <v>2345893.4265841115</v>
      </c>
      <c r="C11">
        <f t="shared" si="0"/>
        <v>1</v>
      </c>
    </row>
    <row r="12" spans="1:3" x14ac:dyDescent="0.3">
      <c r="A12">
        <v>11</v>
      </c>
      <c r="B12" s="7">
        <v>5576293.4029681673</v>
      </c>
      <c r="C12">
        <f t="shared" si="0"/>
        <v>1</v>
      </c>
    </row>
    <row r="13" spans="1:3" x14ac:dyDescent="0.3">
      <c r="A13">
        <v>12</v>
      </c>
      <c r="B13" s="7">
        <v>8849413.6004834864</v>
      </c>
      <c r="C13">
        <f t="shared" si="0"/>
        <v>1</v>
      </c>
    </row>
    <row r="14" spans="1:3" x14ac:dyDescent="0.3">
      <c r="A14">
        <v>13</v>
      </c>
      <c r="B14" s="7">
        <v>7923066.6134747211</v>
      </c>
      <c r="C14">
        <f t="shared" si="0"/>
        <v>1</v>
      </c>
    </row>
    <row r="15" spans="1:3" x14ac:dyDescent="0.3">
      <c r="A15">
        <v>14</v>
      </c>
      <c r="B15" s="7">
        <v>5817559.4370213915</v>
      </c>
      <c r="C15">
        <f t="shared" si="0"/>
        <v>1</v>
      </c>
    </row>
    <row r="16" spans="1:3" x14ac:dyDescent="0.3">
      <c r="A16">
        <v>15</v>
      </c>
      <c r="B16" s="7">
        <v>3199970.6569787501</v>
      </c>
      <c r="C16">
        <f t="shared" si="0"/>
        <v>1</v>
      </c>
    </row>
    <row r="17" spans="1:3" x14ac:dyDescent="0.3">
      <c r="A17">
        <v>16</v>
      </c>
      <c r="B17" s="7">
        <v>4959781.9022645606</v>
      </c>
      <c r="C17">
        <f t="shared" si="0"/>
        <v>1</v>
      </c>
    </row>
    <row r="18" spans="1:3" x14ac:dyDescent="0.3">
      <c r="A18">
        <v>17</v>
      </c>
      <c r="B18" s="7">
        <v>5489342.8947240282</v>
      </c>
      <c r="C18">
        <f t="shared" si="0"/>
        <v>1</v>
      </c>
    </row>
    <row r="19" spans="1:3" x14ac:dyDescent="0.3">
      <c r="A19">
        <v>18</v>
      </c>
      <c r="B19" s="7">
        <v>4428953.7157514999</v>
      </c>
      <c r="C19">
        <f t="shared" si="0"/>
        <v>1</v>
      </c>
    </row>
    <row r="20" spans="1:3" x14ac:dyDescent="0.3">
      <c r="A20">
        <v>19</v>
      </c>
      <c r="B20" s="7">
        <v>8763572.2916625366</v>
      </c>
      <c r="C20">
        <f t="shared" si="0"/>
        <v>1</v>
      </c>
    </row>
    <row r="21" spans="1:3" x14ac:dyDescent="0.3">
      <c r="A21">
        <v>20</v>
      </c>
      <c r="B21" s="7">
        <v>3793518.0579183307</v>
      </c>
      <c r="C21">
        <f t="shared" si="0"/>
        <v>1</v>
      </c>
    </row>
    <row r="22" spans="1:3" x14ac:dyDescent="0.3">
      <c r="A22">
        <v>21</v>
      </c>
      <c r="B22" s="7">
        <v>6697614.0452492572</v>
      </c>
      <c r="C22">
        <f t="shared" si="0"/>
        <v>1</v>
      </c>
    </row>
    <row r="23" spans="1:3" x14ac:dyDescent="0.3">
      <c r="A23">
        <v>22</v>
      </c>
      <c r="B23" s="7">
        <v>1393626.291972891</v>
      </c>
      <c r="C23">
        <f t="shared" si="0"/>
        <v>1</v>
      </c>
    </row>
    <row r="24" spans="1:3" x14ac:dyDescent="0.3">
      <c r="A24">
        <v>23</v>
      </c>
      <c r="B24" s="7">
        <v>1767869.4967337933</v>
      </c>
      <c r="C24">
        <f t="shared" si="0"/>
        <v>1</v>
      </c>
    </row>
    <row r="25" spans="1:3" x14ac:dyDescent="0.3">
      <c r="A25">
        <v>24</v>
      </c>
      <c r="B25" s="7">
        <v>6410627.5522511415</v>
      </c>
      <c r="C25">
        <f t="shared" si="0"/>
        <v>1</v>
      </c>
    </row>
    <row r="26" spans="1:3" x14ac:dyDescent="0.3">
      <c r="A26">
        <v>25</v>
      </c>
      <c r="B26" s="7">
        <v>1290921.0348371544</v>
      </c>
      <c r="C26">
        <f t="shared" si="0"/>
        <v>1</v>
      </c>
    </row>
    <row r="27" spans="1:3" x14ac:dyDescent="0.3">
      <c r="A27">
        <v>26</v>
      </c>
      <c r="B27" s="7">
        <v>709753.45704292739</v>
      </c>
      <c r="C27">
        <f t="shared" si="0"/>
        <v>1</v>
      </c>
    </row>
    <row r="28" spans="1:3" x14ac:dyDescent="0.3">
      <c r="A28">
        <v>27</v>
      </c>
      <c r="B28" s="7">
        <v>6213063.7608477054</v>
      </c>
      <c r="C28">
        <f t="shared" si="0"/>
        <v>1</v>
      </c>
    </row>
    <row r="29" spans="1:3" x14ac:dyDescent="0.3">
      <c r="A29">
        <v>28</v>
      </c>
      <c r="B29" s="7">
        <v>5201067.2993458863</v>
      </c>
      <c r="C29">
        <f t="shared" si="0"/>
        <v>1</v>
      </c>
    </row>
    <row r="30" spans="1:3" x14ac:dyDescent="0.3">
      <c r="A30">
        <v>29</v>
      </c>
      <c r="B30" s="7">
        <v>2889178.0005692951</v>
      </c>
      <c r="C30">
        <f t="shared" si="0"/>
        <v>1</v>
      </c>
    </row>
    <row r="31" spans="1:3" x14ac:dyDescent="0.3">
      <c r="A31">
        <v>30</v>
      </c>
      <c r="B31" s="7">
        <v>1419563.9964478069</v>
      </c>
      <c r="C31">
        <f t="shared" si="0"/>
        <v>1</v>
      </c>
    </row>
    <row r="32" spans="1:3" x14ac:dyDescent="0.3">
      <c r="A32">
        <v>31</v>
      </c>
      <c r="B32" s="7">
        <v>13625936.293919988</v>
      </c>
      <c r="C32">
        <f t="shared" si="0"/>
        <v>1</v>
      </c>
    </row>
    <row r="33" spans="1:3" x14ac:dyDescent="0.3">
      <c r="A33">
        <v>32</v>
      </c>
      <c r="B33" s="7">
        <v>6398090.012565217</v>
      </c>
      <c r="C33">
        <f t="shared" si="0"/>
        <v>1</v>
      </c>
    </row>
    <row r="34" spans="1:3" x14ac:dyDescent="0.3">
      <c r="A34">
        <v>33</v>
      </c>
      <c r="B34" s="7">
        <v>9080120.3683128133</v>
      </c>
      <c r="C34">
        <f t="shared" si="0"/>
        <v>1</v>
      </c>
    </row>
    <row r="35" spans="1:3" x14ac:dyDescent="0.3">
      <c r="A35">
        <v>34</v>
      </c>
      <c r="B35" s="7">
        <v>8481950.1186952293</v>
      </c>
      <c r="C35">
        <f t="shared" si="0"/>
        <v>1</v>
      </c>
    </row>
    <row r="36" spans="1:3" x14ac:dyDescent="0.3">
      <c r="A36">
        <v>35</v>
      </c>
      <c r="B36" s="7">
        <v>7589989.8627316505</v>
      </c>
      <c r="C36">
        <f t="shared" si="0"/>
        <v>1</v>
      </c>
    </row>
    <row r="37" spans="1:3" x14ac:dyDescent="0.3">
      <c r="A37">
        <v>36</v>
      </c>
      <c r="B37" s="7">
        <v>1459391.5437417477</v>
      </c>
      <c r="C37">
        <f t="shared" si="0"/>
        <v>1</v>
      </c>
    </row>
    <row r="38" spans="1:3" x14ac:dyDescent="0.3">
      <c r="A38">
        <v>37</v>
      </c>
      <c r="B38" s="7">
        <v>862866.71167443984</v>
      </c>
      <c r="C38">
        <f t="shared" si="0"/>
        <v>1</v>
      </c>
    </row>
    <row r="39" spans="1:3" x14ac:dyDescent="0.3">
      <c r="A39">
        <v>38</v>
      </c>
      <c r="B39" s="7">
        <v>1481908.2310444708</v>
      </c>
      <c r="C39">
        <f t="shared" si="0"/>
        <v>1</v>
      </c>
    </row>
    <row r="40" spans="1:3" x14ac:dyDescent="0.3">
      <c r="A40">
        <v>39</v>
      </c>
      <c r="B40" s="7">
        <v>3900722.0023588743</v>
      </c>
      <c r="C40">
        <f t="shared" si="0"/>
        <v>1</v>
      </c>
    </row>
    <row r="41" spans="1:3" x14ac:dyDescent="0.3">
      <c r="A41">
        <v>40</v>
      </c>
      <c r="B41" s="7">
        <v>3809057.3900630143</v>
      </c>
      <c r="C41">
        <f t="shared" si="0"/>
        <v>1</v>
      </c>
    </row>
    <row r="42" spans="1:3" x14ac:dyDescent="0.3">
      <c r="A42">
        <v>41</v>
      </c>
      <c r="B42" s="7">
        <v>2368405.3201358248</v>
      </c>
      <c r="C42">
        <f t="shared" si="0"/>
        <v>1</v>
      </c>
    </row>
    <row r="43" spans="1:3" x14ac:dyDescent="0.3">
      <c r="A43">
        <v>42</v>
      </c>
      <c r="B43" s="7">
        <v>1794526.1655559591</v>
      </c>
      <c r="C43">
        <f t="shared" si="0"/>
        <v>1</v>
      </c>
    </row>
    <row r="44" spans="1:3" x14ac:dyDescent="0.3">
      <c r="A44">
        <v>43</v>
      </c>
      <c r="B44" s="7">
        <v>4366919.2474324731</v>
      </c>
      <c r="C44">
        <f t="shared" si="0"/>
        <v>1</v>
      </c>
    </row>
    <row r="45" spans="1:3" x14ac:dyDescent="0.3">
      <c r="A45">
        <v>44</v>
      </c>
      <c r="B45" s="7">
        <v>2844121.0288328747</v>
      </c>
      <c r="C45">
        <f t="shared" si="0"/>
        <v>1</v>
      </c>
    </row>
    <row r="46" spans="1:3" x14ac:dyDescent="0.3">
      <c r="A46">
        <v>45</v>
      </c>
      <c r="B46" s="7">
        <v>3656747.2623376176</v>
      </c>
      <c r="C46">
        <f t="shared" si="0"/>
        <v>1</v>
      </c>
    </row>
    <row r="47" spans="1:3" x14ac:dyDescent="0.3">
      <c r="A47">
        <v>46</v>
      </c>
      <c r="B47" s="7">
        <v>9567756.2555970009</v>
      </c>
      <c r="C47">
        <f t="shared" si="0"/>
        <v>1</v>
      </c>
    </row>
    <row r="48" spans="1:3" x14ac:dyDescent="0.3">
      <c r="A48">
        <v>47</v>
      </c>
      <c r="B48" s="7">
        <v>9541619.1268717498</v>
      </c>
      <c r="C48">
        <f t="shared" si="0"/>
        <v>1</v>
      </c>
    </row>
    <row r="49" spans="1:3" x14ac:dyDescent="0.3">
      <c r="A49">
        <v>48</v>
      </c>
      <c r="B49" s="7">
        <v>11202195.662539372</v>
      </c>
      <c r="C49">
        <f t="shared" si="0"/>
        <v>1</v>
      </c>
    </row>
    <row r="50" spans="1:3" x14ac:dyDescent="0.3">
      <c r="A50">
        <v>49</v>
      </c>
      <c r="B50" s="7">
        <v>42650747.927363828</v>
      </c>
      <c r="C50">
        <f t="shared" si="0"/>
        <v>1</v>
      </c>
    </row>
    <row r="51" spans="1:3" x14ac:dyDescent="0.3">
      <c r="A51">
        <v>50</v>
      </c>
      <c r="B51" s="7">
        <v>5174472.4976981711</v>
      </c>
      <c r="C51">
        <f t="shared" si="0"/>
        <v>1</v>
      </c>
    </row>
    <row r="52" spans="1:3" x14ac:dyDescent="0.3">
      <c r="A52">
        <v>51</v>
      </c>
      <c r="B52" s="7">
        <v>10398713.721080426</v>
      </c>
      <c r="C52">
        <f t="shared" si="0"/>
        <v>1</v>
      </c>
    </row>
    <row r="53" spans="1:3" x14ac:dyDescent="0.3">
      <c r="A53">
        <v>52</v>
      </c>
      <c r="B53" s="7">
        <v>4780805.2619108548</v>
      </c>
      <c r="C53">
        <f t="shared" si="0"/>
        <v>1</v>
      </c>
    </row>
    <row r="54" spans="1:3" x14ac:dyDescent="0.3">
      <c r="A54">
        <v>53</v>
      </c>
      <c r="B54" s="7">
        <v>8375562.9987294041</v>
      </c>
      <c r="C54">
        <f t="shared" si="0"/>
        <v>1</v>
      </c>
    </row>
    <row r="55" spans="1:3" x14ac:dyDescent="0.3">
      <c r="A55">
        <v>54</v>
      </c>
      <c r="B55" s="7">
        <v>4054365.7429156094</v>
      </c>
      <c r="C55">
        <f t="shared" si="0"/>
        <v>1</v>
      </c>
    </row>
    <row r="56" spans="1:3" x14ac:dyDescent="0.3">
      <c r="A56">
        <v>55</v>
      </c>
      <c r="B56" s="7">
        <v>5389950.150636455</v>
      </c>
      <c r="C56">
        <f t="shared" si="0"/>
        <v>1</v>
      </c>
    </row>
    <row r="57" spans="1:3" x14ac:dyDescent="0.3">
      <c r="A57">
        <v>56</v>
      </c>
      <c r="B57" s="7">
        <v>3364857.8271557526</v>
      </c>
      <c r="C57">
        <f t="shared" si="0"/>
        <v>1</v>
      </c>
    </row>
    <row r="58" spans="1:3" x14ac:dyDescent="0.3">
      <c r="A58">
        <v>57</v>
      </c>
      <c r="B58" s="7">
        <v>5557613.7360972036</v>
      </c>
      <c r="C58">
        <f t="shared" si="0"/>
        <v>1</v>
      </c>
    </row>
    <row r="59" spans="1:3" x14ac:dyDescent="0.3">
      <c r="A59">
        <v>58</v>
      </c>
      <c r="B59" s="7">
        <v>4225603.6698543737</v>
      </c>
      <c r="C59">
        <f t="shared" si="0"/>
        <v>1</v>
      </c>
    </row>
    <row r="60" spans="1:3" x14ac:dyDescent="0.3">
      <c r="A60">
        <v>59</v>
      </c>
      <c r="B60" s="7">
        <v>7738580.7712538801</v>
      </c>
      <c r="C60">
        <f t="shared" si="0"/>
        <v>1</v>
      </c>
    </row>
    <row r="61" spans="1:3" x14ac:dyDescent="0.3">
      <c r="A61">
        <v>60</v>
      </c>
      <c r="B61" s="7">
        <v>1812306.9195595104</v>
      </c>
      <c r="C61">
        <f t="shared" si="0"/>
        <v>1</v>
      </c>
    </row>
    <row r="62" spans="1:3" x14ac:dyDescent="0.3">
      <c r="A62">
        <v>61</v>
      </c>
      <c r="B62" s="7">
        <v>3062871.4494223981</v>
      </c>
      <c r="C62">
        <f t="shared" si="0"/>
        <v>1</v>
      </c>
    </row>
    <row r="63" spans="1:3" x14ac:dyDescent="0.3">
      <c r="A63">
        <v>62</v>
      </c>
      <c r="B63" s="7">
        <v>3183947.0167531362</v>
      </c>
      <c r="C63">
        <f t="shared" si="0"/>
        <v>1</v>
      </c>
    </row>
    <row r="64" spans="1:3" x14ac:dyDescent="0.3">
      <c r="A64">
        <v>63</v>
      </c>
      <c r="B64" s="7">
        <v>2210597.8139391718</v>
      </c>
      <c r="C64">
        <f t="shared" si="0"/>
        <v>1</v>
      </c>
    </row>
    <row r="65" spans="1:3" x14ac:dyDescent="0.3">
      <c r="A65">
        <v>64</v>
      </c>
      <c r="B65" s="7">
        <v>673924.30713698175</v>
      </c>
      <c r="C65">
        <f t="shared" si="0"/>
        <v>1</v>
      </c>
    </row>
    <row r="66" spans="1:3" x14ac:dyDescent="0.3">
      <c r="A66">
        <v>65</v>
      </c>
      <c r="B66" s="7">
        <v>7390838.9252008582</v>
      </c>
      <c r="C66">
        <f t="shared" si="0"/>
        <v>1</v>
      </c>
    </row>
    <row r="67" spans="1:3" x14ac:dyDescent="0.3">
      <c r="A67">
        <v>66</v>
      </c>
      <c r="B67" s="7">
        <v>12229534.635786785</v>
      </c>
      <c r="C67">
        <f t="shared" ref="C67:C130" si="1">IF(B67=0,0,1)</f>
        <v>1</v>
      </c>
    </row>
    <row r="68" spans="1:3" x14ac:dyDescent="0.3">
      <c r="A68">
        <v>67</v>
      </c>
      <c r="B68" s="7">
        <v>14731792.040337933</v>
      </c>
      <c r="C68">
        <f t="shared" si="1"/>
        <v>1</v>
      </c>
    </row>
    <row r="69" spans="1:3" x14ac:dyDescent="0.3">
      <c r="A69">
        <v>68</v>
      </c>
      <c r="B69" s="7">
        <v>4608814.8404386584</v>
      </c>
      <c r="C69">
        <f t="shared" si="1"/>
        <v>1</v>
      </c>
    </row>
    <row r="70" spans="1:3" x14ac:dyDescent="0.3">
      <c r="A70">
        <v>69</v>
      </c>
      <c r="B70" s="7">
        <v>3968054.5873588012</v>
      </c>
      <c r="C70">
        <f t="shared" si="1"/>
        <v>1</v>
      </c>
    </row>
    <row r="71" spans="1:3" x14ac:dyDescent="0.3">
      <c r="A71">
        <v>70</v>
      </c>
      <c r="B71" s="7">
        <v>186353.84428901228</v>
      </c>
      <c r="C71">
        <f t="shared" si="1"/>
        <v>1</v>
      </c>
    </row>
    <row r="72" spans="1:3" x14ac:dyDescent="0.3">
      <c r="A72">
        <v>71</v>
      </c>
      <c r="B72" s="7">
        <v>13346210.815730385</v>
      </c>
      <c r="C72">
        <f t="shared" si="1"/>
        <v>1</v>
      </c>
    </row>
    <row r="73" spans="1:3" x14ac:dyDescent="0.3">
      <c r="A73">
        <v>72</v>
      </c>
      <c r="B73" s="7">
        <v>17662369.81548515</v>
      </c>
      <c r="C73">
        <f t="shared" si="1"/>
        <v>1</v>
      </c>
    </row>
    <row r="74" spans="1:3" x14ac:dyDescent="0.3">
      <c r="A74">
        <v>73</v>
      </c>
      <c r="B74" s="7">
        <v>11918135.044385949</v>
      </c>
      <c r="C74">
        <f t="shared" si="1"/>
        <v>1</v>
      </c>
    </row>
    <row r="75" spans="1:3" x14ac:dyDescent="0.3">
      <c r="A75">
        <v>74</v>
      </c>
      <c r="B75" s="7">
        <v>6418875.3162628124</v>
      </c>
      <c r="C75">
        <f t="shared" si="1"/>
        <v>1</v>
      </c>
    </row>
    <row r="76" spans="1:3" x14ac:dyDescent="0.3">
      <c r="A76">
        <v>75</v>
      </c>
      <c r="B76" s="7">
        <v>1353702.471506685</v>
      </c>
      <c r="C76">
        <f t="shared" si="1"/>
        <v>1</v>
      </c>
    </row>
    <row r="77" spans="1:3" x14ac:dyDescent="0.3">
      <c r="A77">
        <v>76</v>
      </c>
      <c r="B77" s="7">
        <v>2523635.0832583206</v>
      </c>
      <c r="C77">
        <f t="shared" si="1"/>
        <v>1</v>
      </c>
    </row>
    <row r="78" spans="1:3" x14ac:dyDescent="0.3">
      <c r="A78">
        <v>77</v>
      </c>
      <c r="B78" s="7">
        <v>10657214.489702659</v>
      </c>
      <c r="C78">
        <f t="shared" si="1"/>
        <v>1</v>
      </c>
    </row>
    <row r="79" spans="1:3" x14ac:dyDescent="0.3">
      <c r="A79">
        <v>78</v>
      </c>
      <c r="B79" s="7">
        <v>5425644.2215885343</v>
      </c>
      <c r="C79">
        <f t="shared" si="1"/>
        <v>1</v>
      </c>
    </row>
    <row r="80" spans="1:3" x14ac:dyDescent="0.3">
      <c r="A80">
        <v>79</v>
      </c>
      <c r="B80" s="7">
        <v>11532553.177087123</v>
      </c>
      <c r="C80">
        <f t="shared" si="1"/>
        <v>1</v>
      </c>
    </row>
    <row r="81" spans="1:3" x14ac:dyDescent="0.3">
      <c r="A81">
        <v>80</v>
      </c>
      <c r="B81" s="7">
        <v>3842154.4869795279</v>
      </c>
      <c r="C81">
        <f t="shared" si="1"/>
        <v>1</v>
      </c>
    </row>
    <row r="82" spans="1:3" x14ac:dyDescent="0.3">
      <c r="A82">
        <v>81</v>
      </c>
      <c r="B82" s="7">
        <v>2841969.0844196151</v>
      </c>
      <c r="C82">
        <f t="shared" si="1"/>
        <v>1</v>
      </c>
    </row>
    <row r="83" spans="1:3" x14ac:dyDescent="0.3">
      <c r="A83">
        <v>82</v>
      </c>
      <c r="B83" s="7">
        <v>3074135.5132911867</v>
      </c>
      <c r="C83">
        <f t="shared" si="1"/>
        <v>1</v>
      </c>
    </row>
    <row r="84" spans="1:3" x14ac:dyDescent="0.3">
      <c r="A84">
        <v>83</v>
      </c>
      <c r="B84" s="7">
        <v>4004110.0282088909</v>
      </c>
      <c r="C84">
        <f t="shared" si="1"/>
        <v>1</v>
      </c>
    </row>
    <row r="85" spans="1:3" x14ac:dyDescent="0.3">
      <c r="A85">
        <v>84</v>
      </c>
      <c r="B85" s="7">
        <v>9869103.1545600817</v>
      </c>
      <c r="C85">
        <f t="shared" si="1"/>
        <v>1</v>
      </c>
    </row>
    <row r="86" spans="1:3" x14ac:dyDescent="0.3">
      <c r="A86">
        <v>85</v>
      </c>
      <c r="B86" s="7">
        <v>3905847.5805909708</v>
      </c>
      <c r="C86">
        <f t="shared" si="1"/>
        <v>1</v>
      </c>
    </row>
    <row r="87" spans="1:3" x14ac:dyDescent="0.3">
      <c r="A87">
        <v>86</v>
      </c>
      <c r="B87" s="7">
        <v>5175685.7043633088</v>
      </c>
      <c r="C87">
        <f t="shared" si="1"/>
        <v>1</v>
      </c>
    </row>
    <row r="88" spans="1:3" x14ac:dyDescent="0.3">
      <c r="A88">
        <v>87</v>
      </c>
      <c r="B88" s="7">
        <v>1688508.1964171238</v>
      </c>
      <c r="C88">
        <f t="shared" si="1"/>
        <v>1</v>
      </c>
    </row>
    <row r="89" spans="1:3" x14ac:dyDescent="0.3">
      <c r="A89">
        <v>88</v>
      </c>
      <c r="B89" s="7">
        <v>5366216.8063729322</v>
      </c>
      <c r="C89">
        <f t="shared" si="1"/>
        <v>1</v>
      </c>
    </row>
    <row r="90" spans="1:3" x14ac:dyDescent="0.3">
      <c r="A90">
        <v>89</v>
      </c>
      <c r="B90" s="7">
        <v>2557952.4943919517</v>
      </c>
      <c r="C90">
        <f t="shared" si="1"/>
        <v>1</v>
      </c>
    </row>
    <row r="91" spans="1:3" x14ac:dyDescent="0.3">
      <c r="A91">
        <v>90</v>
      </c>
      <c r="B91" s="7">
        <v>1806971.770602657</v>
      </c>
      <c r="C91">
        <f t="shared" si="1"/>
        <v>1</v>
      </c>
    </row>
    <row r="92" spans="1:3" x14ac:dyDescent="0.3">
      <c r="A92">
        <v>91</v>
      </c>
      <c r="B92" s="7">
        <v>3944467.6957931449</v>
      </c>
      <c r="C92">
        <f t="shared" si="1"/>
        <v>1</v>
      </c>
    </row>
    <row r="93" spans="1:3" x14ac:dyDescent="0.3">
      <c r="A93">
        <v>92</v>
      </c>
      <c r="B93" s="7">
        <v>3923262.2328002574</v>
      </c>
      <c r="C93">
        <f t="shared" si="1"/>
        <v>1</v>
      </c>
    </row>
    <row r="94" spans="1:3" x14ac:dyDescent="0.3">
      <c r="A94">
        <v>93</v>
      </c>
      <c r="B94" s="7">
        <v>4265647.1925020013</v>
      </c>
      <c r="C94">
        <f t="shared" si="1"/>
        <v>1</v>
      </c>
    </row>
    <row r="95" spans="1:3" x14ac:dyDescent="0.3">
      <c r="A95">
        <v>94</v>
      </c>
      <c r="B95" s="7">
        <v>11627139.570039542</v>
      </c>
      <c r="C95">
        <f t="shared" si="1"/>
        <v>1</v>
      </c>
    </row>
    <row r="96" spans="1:3" x14ac:dyDescent="0.3">
      <c r="A96">
        <v>95</v>
      </c>
      <c r="B96" s="7">
        <v>21002781.975905731</v>
      </c>
      <c r="C96">
        <f t="shared" si="1"/>
        <v>1</v>
      </c>
    </row>
    <row r="97" spans="1:3" x14ac:dyDescent="0.3">
      <c r="A97">
        <v>96</v>
      </c>
      <c r="B97" s="7">
        <v>6043047.3520400561</v>
      </c>
      <c r="C97">
        <f t="shared" si="1"/>
        <v>1</v>
      </c>
    </row>
    <row r="98" spans="1:3" x14ac:dyDescent="0.3">
      <c r="A98">
        <v>97</v>
      </c>
      <c r="B98" s="7">
        <v>11539701.634659728</v>
      </c>
      <c r="C98">
        <f t="shared" si="1"/>
        <v>1</v>
      </c>
    </row>
    <row r="99" spans="1:3" x14ac:dyDescent="0.3">
      <c r="A99">
        <v>98</v>
      </c>
      <c r="B99" s="7">
        <v>8139655.0436163116</v>
      </c>
      <c r="C99">
        <f t="shared" si="1"/>
        <v>1</v>
      </c>
    </row>
    <row r="100" spans="1:3" x14ac:dyDescent="0.3">
      <c r="A100">
        <v>99</v>
      </c>
      <c r="B100" s="7">
        <v>10984706.651318969</v>
      </c>
      <c r="C100">
        <f t="shared" si="1"/>
        <v>1</v>
      </c>
    </row>
    <row r="101" spans="1:3" x14ac:dyDescent="0.3">
      <c r="A101">
        <v>100</v>
      </c>
      <c r="B101" s="7">
        <v>48684.194810994035</v>
      </c>
      <c r="C101">
        <f t="shared" si="1"/>
        <v>1</v>
      </c>
    </row>
    <row r="102" spans="1:3" x14ac:dyDescent="0.3">
      <c r="A102">
        <v>101</v>
      </c>
      <c r="B102" s="7">
        <v>7719046.278563072</v>
      </c>
      <c r="C102">
        <f t="shared" si="1"/>
        <v>1</v>
      </c>
    </row>
    <row r="103" spans="1:3" x14ac:dyDescent="0.3">
      <c r="A103">
        <v>102</v>
      </c>
      <c r="B103" s="7">
        <v>3476897.0046330034</v>
      </c>
      <c r="C103">
        <f t="shared" si="1"/>
        <v>1</v>
      </c>
    </row>
    <row r="104" spans="1:3" x14ac:dyDescent="0.3">
      <c r="A104">
        <v>103</v>
      </c>
      <c r="B104" s="7">
        <v>6666995.6462514233</v>
      </c>
      <c r="C104">
        <f t="shared" si="1"/>
        <v>1</v>
      </c>
    </row>
    <row r="105" spans="1:3" x14ac:dyDescent="0.3">
      <c r="A105">
        <v>104</v>
      </c>
      <c r="B105" s="7">
        <v>3892850.2695395472</v>
      </c>
      <c r="C105">
        <f t="shared" si="1"/>
        <v>1</v>
      </c>
    </row>
    <row r="106" spans="1:3" x14ac:dyDescent="0.3">
      <c r="A106">
        <v>105</v>
      </c>
      <c r="B106" s="7">
        <v>8445450.7378977593</v>
      </c>
      <c r="C106">
        <f t="shared" si="1"/>
        <v>1</v>
      </c>
    </row>
    <row r="107" spans="1:3" x14ac:dyDescent="0.3">
      <c r="A107">
        <v>106</v>
      </c>
      <c r="B107" s="7">
        <v>2742336.7218663008</v>
      </c>
      <c r="C107">
        <f t="shared" si="1"/>
        <v>1</v>
      </c>
    </row>
    <row r="108" spans="1:3" x14ac:dyDescent="0.3">
      <c r="A108">
        <v>107</v>
      </c>
      <c r="B108" s="7">
        <v>4532757.5824091006</v>
      </c>
      <c r="C108">
        <f t="shared" si="1"/>
        <v>1</v>
      </c>
    </row>
    <row r="109" spans="1:3" x14ac:dyDescent="0.3">
      <c r="A109">
        <v>108</v>
      </c>
      <c r="B109" s="7">
        <v>875429.27020541579</v>
      </c>
      <c r="C109">
        <f t="shared" si="1"/>
        <v>1</v>
      </c>
    </row>
    <row r="110" spans="1:3" x14ac:dyDescent="0.3">
      <c r="A110">
        <v>109</v>
      </c>
      <c r="B110" s="7">
        <v>2125388.2478357023</v>
      </c>
      <c r="C110">
        <f t="shared" si="1"/>
        <v>1</v>
      </c>
    </row>
    <row r="111" spans="1:3" x14ac:dyDescent="0.3">
      <c r="A111">
        <v>110</v>
      </c>
      <c r="B111" s="7">
        <v>4479710.658832944</v>
      </c>
      <c r="C111">
        <f t="shared" si="1"/>
        <v>1</v>
      </c>
    </row>
    <row r="112" spans="1:3" x14ac:dyDescent="0.3">
      <c r="A112">
        <v>111</v>
      </c>
      <c r="B112" s="7">
        <v>8307197.7978358977</v>
      </c>
      <c r="C112">
        <f t="shared" si="1"/>
        <v>1</v>
      </c>
    </row>
    <row r="113" spans="1:3" x14ac:dyDescent="0.3">
      <c r="A113">
        <v>112</v>
      </c>
      <c r="B113" s="7">
        <v>7045374.8283016002</v>
      </c>
      <c r="C113">
        <f t="shared" si="1"/>
        <v>1</v>
      </c>
    </row>
    <row r="114" spans="1:3" x14ac:dyDescent="0.3">
      <c r="A114">
        <v>113</v>
      </c>
      <c r="B114" s="7">
        <v>4927868.742300326</v>
      </c>
      <c r="C114">
        <f t="shared" si="1"/>
        <v>1</v>
      </c>
    </row>
    <row r="115" spans="1:3" x14ac:dyDescent="0.3">
      <c r="A115">
        <v>114</v>
      </c>
      <c r="B115" s="7">
        <v>3852752.6088372632</v>
      </c>
      <c r="C115">
        <f t="shared" si="1"/>
        <v>1</v>
      </c>
    </row>
    <row r="116" spans="1:3" x14ac:dyDescent="0.3">
      <c r="A116">
        <v>115</v>
      </c>
      <c r="B116" s="7">
        <v>9061807.2728152256</v>
      </c>
      <c r="C116">
        <f t="shared" si="1"/>
        <v>1</v>
      </c>
    </row>
    <row r="117" spans="1:3" x14ac:dyDescent="0.3">
      <c r="A117">
        <v>116</v>
      </c>
      <c r="B117" s="7">
        <v>3769063.6395123587</v>
      </c>
      <c r="C117">
        <f t="shared" si="1"/>
        <v>1</v>
      </c>
    </row>
    <row r="118" spans="1:3" x14ac:dyDescent="0.3">
      <c r="A118">
        <v>117</v>
      </c>
      <c r="B118" s="7">
        <v>3569782.8275720486</v>
      </c>
      <c r="C118">
        <f t="shared" si="1"/>
        <v>1</v>
      </c>
    </row>
    <row r="119" spans="1:3" x14ac:dyDescent="0.3">
      <c r="A119">
        <v>118</v>
      </c>
      <c r="B119" s="7">
        <v>1102174.9227720194</v>
      </c>
      <c r="C119">
        <f t="shared" si="1"/>
        <v>1</v>
      </c>
    </row>
    <row r="120" spans="1:3" x14ac:dyDescent="0.3">
      <c r="A120">
        <v>119</v>
      </c>
      <c r="B120" s="7">
        <v>13440491.603998147</v>
      </c>
      <c r="C120">
        <f t="shared" si="1"/>
        <v>1</v>
      </c>
    </row>
    <row r="121" spans="1:3" x14ac:dyDescent="0.3">
      <c r="A121">
        <v>120</v>
      </c>
      <c r="B121" s="7">
        <v>5638293.3925686264</v>
      </c>
      <c r="C121">
        <f t="shared" si="1"/>
        <v>1</v>
      </c>
    </row>
    <row r="122" spans="1:3" x14ac:dyDescent="0.3">
      <c r="A122">
        <v>121</v>
      </c>
      <c r="B122" s="7">
        <v>3983992.3474369119</v>
      </c>
      <c r="C122">
        <f t="shared" si="1"/>
        <v>1</v>
      </c>
    </row>
    <row r="123" spans="1:3" x14ac:dyDescent="0.3">
      <c r="A123">
        <v>122</v>
      </c>
      <c r="B123" s="7">
        <v>6686880.3345526075</v>
      </c>
      <c r="C123">
        <f t="shared" si="1"/>
        <v>1</v>
      </c>
    </row>
    <row r="124" spans="1:3" x14ac:dyDescent="0.3">
      <c r="A124">
        <v>123</v>
      </c>
      <c r="B124" s="7">
        <v>13978210.265905688</v>
      </c>
      <c r="C124">
        <f t="shared" si="1"/>
        <v>1</v>
      </c>
    </row>
    <row r="125" spans="1:3" x14ac:dyDescent="0.3">
      <c r="A125">
        <v>124</v>
      </c>
      <c r="B125" s="7">
        <v>3320812.1431068992</v>
      </c>
      <c r="C125">
        <f t="shared" si="1"/>
        <v>1</v>
      </c>
    </row>
    <row r="126" spans="1:3" x14ac:dyDescent="0.3">
      <c r="A126">
        <v>125</v>
      </c>
      <c r="B126" s="7">
        <v>13205174.532217024</v>
      </c>
      <c r="C126">
        <f t="shared" si="1"/>
        <v>1</v>
      </c>
    </row>
    <row r="127" spans="1:3" x14ac:dyDescent="0.3">
      <c r="A127">
        <v>126</v>
      </c>
      <c r="B127" s="7">
        <v>11581703.922656039</v>
      </c>
      <c r="C127">
        <f t="shared" si="1"/>
        <v>1</v>
      </c>
    </row>
    <row r="128" spans="1:3" x14ac:dyDescent="0.3">
      <c r="A128">
        <v>127</v>
      </c>
      <c r="B128" s="7">
        <v>18657734.726525027</v>
      </c>
      <c r="C128">
        <f t="shared" si="1"/>
        <v>1</v>
      </c>
    </row>
    <row r="129" spans="1:3" x14ac:dyDescent="0.3">
      <c r="A129">
        <v>128</v>
      </c>
      <c r="B129" s="7">
        <v>1586077.4832136009</v>
      </c>
      <c r="C129">
        <f t="shared" si="1"/>
        <v>1</v>
      </c>
    </row>
    <row r="130" spans="1:3" x14ac:dyDescent="0.3">
      <c r="A130">
        <v>129</v>
      </c>
      <c r="B130" s="7">
        <v>10786065.526467672</v>
      </c>
      <c r="C130">
        <f t="shared" si="1"/>
        <v>1</v>
      </c>
    </row>
    <row r="131" spans="1:3" x14ac:dyDescent="0.3">
      <c r="A131">
        <v>130</v>
      </c>
      <c r="B131" s="7">
        <v>4277068.8657099837</v>
      </c>
      <c r="C131">
        <f t="shared" ref="C131:C194" si="2">IF(B131=0,0,1)</f>
        <v>1</v>
      </c>
    </row>
    <row r="132" spans="1:3" x14ac:dyDescent="0.3">
      <c r="A132">
        <v>131</v>
      </c>
      <c r="B132" s="7">
        <v>2590725.1937873494</v>
      </c>
      <c r="C132">
        <f t="shared" si="2"/>
        <v>1</v>
      </c>
    </row>
    <row r="133" spans="1:3" x14ac:dyDescent="0.3">
      <c r="A133">
        <v>132</v>
      </c>
      <c r="B133" s="7">
        <v>6834509.6006125184</v>
      </c>
      <c r="C133">
        <f t="shared" si="2"/>
        <v>1</v>
      </c>
    </row>
    <row r="134" spans="1:3" x14ac:dyDescent="0.3">
      <c r="A134">
        <v>133</v>
      </c>
      <c r="B134" s="7">
        <v>16803455.255887441</v>
      </c>
      <c r="C134">
        <f t="shared" si="2"/>
        <v>1</v>
      </c>
    </row>
    <row r="135" spans="1:3" x14ac:dyDescent="0.3">
      <c r="A135">
        <v>134</v>
      </c>
      <c r="B135" s="7">
        <v>3763024.8757984261</v>
      </c>
      <c r="C135">
        <f t="shared" si="2"/>
        <v>1</v>
      </c>
    </row>
    <row r="136" spans="1:3" x14ac:dyDescent="0.3">
      <c r="A136">
        <v>135</v>
      </c>
      <c r="B136" s="7">
        <v>8418058.8540818952</v>
      </c>
      <c r="C136">
        <f t="shared" si="2"/>
        <v>1</v>
      </c>
    </row>
    <row r="137" spans="1:3" x14ac:dyDescent="0.3">
      <c r="A137">
        <v>136</v>
      </c>
      <c r="B137" s="7">
        <v>4378118.4218974318</v>
      </c>
      <c r="C137">
        <f t="shared" si="2"/>
        <v>1</v>
      </c>
    </row>
    <row r="138" spans="1:3" x14ac:dyDescent="0.3">
      <c r="A138">
        <v>137</v>
      </c>
      <c r="B138" s="7">
        <v>9472707.2036463078</v>
      </c>
      <c r="C138">
        <f t="shared" si="2"/>
        <v>1</v>
      </c>
    </row>
    <row r="139" spans="1:3" x14ac:dyDescent="0.3">
      <c r="A139">
        <v>138</v>
      </c>
      <c r="B139" s="7">
        <v>7136142.7264755247</v>
      </c>
      <c r="C139">
        <f t="shared" si="2"/>
        <v>1</v>
      </c>
    </row>
    <row r="140" spans="1:3" x14ac:dyDescent="0.3">
      <c r="A140">
        <v>139</v>
      </c>
      <c r="B140" s="7">
        <v>5299640.7570057465</v>
      </c>
      <c r="C140">
        <f t="shared" si="2"/>
        <v>1</v>
      </c>
    </row>
    <row r="141" spans="1:3" x14ac:dyDescent="0.3">
      <c r="A141">
        <v>140</v>
      </c>
      <c r="B141" s="7">
        <v>2423702.2327270932</v>
      </c>
      <c r="C141">
        <f t="shared" si="2"/>
        <v>1</v>
      </c>
    </row>
    <row r="142" spans="1:3" x14ac:dyDescent="0.3">
      <c r="A142">
        <v>141</v>
      </c>
      <c r="B142" s="7">
        <v>6722124.4692011299</v>
      </c>
      <c r="C142">
        <f t="shared" si="2"/>
        <v>1</v>
      </c>
    </row>
    <row r="143" spans="1:3" x14ac:dyDescent="0.3">
      <c r="A143">
        <v>142</v>
      </c>
      <c r="B143" s="7">
        <v>7075929.0167521117</v>
      </c>
      <c r="C143">
        <f t="shared" si="2"/>
        <v>1</v>
      </c>
    </row>
    <row r="144" spans="1:3" x14ac:dyDescent="0.3">
      <c r="A144">
        <v>143</v>
      </c>
      <c r="B144" s="7">
        <v>7535689.8478617221</v>
      </c>
      <c r="C144">
        <f t="shared" si="2"/>
        <v>1</v>
      </c>
    </row>
    <row r="145" spans="1:3" x14ac:dyDescent="0.3">
      <c r="A145">
        <v>144</v>
      </c>
      <c r="B145" s="7">
        <v>3900249.765616864</v>
      </c>
      <c r="C145">
        <f t="shared" si="2"/>
        <v>1</v>
      </c>
    </row>
    <row r="146" spans="1:3" x14ac:dyDescent="0.3">
      <c r="A146">
        <v>145</v>
      </c>
      <c r="B146" s="7">
        <v>9996557.4126398899</v>
      </c>
      <c r="C146">
        <f t="shared" si="2"/>
        <v>1</v>
      </c>
    </row>
    <row r="147" spans="1:3" x14ac:dyDescent="0.3">
      <c r="A147">
        <v>146</v>
      </c>
      <c r="B147" s="7">
        <v>18006521.029413324</v>
      </c>
      <c r="C147">
        <f t="shared" si="2"/>
        <v>1</v>
      </c>
    </row>
    <row r="148" spans="1:3" x14ac:dyDescent="0.3">
      <c r="A148">
        <v>147</v>
      </c>
      <c r="B148" s="7">
        <v>6093019.0623746421</v>
      </c>
      <c r="C148">
        <f t="shared" si="2"/>
        <v>1</v>
      </c>
    </row>
    <row r="149" spans="1:3" x14ac:dyDescent="0.3">
      <c r="A149">
        <v>148</v>
      </c>
      <c r="B149" s="7">
        <v>18060394.940320678</v>
      </c>
      <c r="C149">
        <f t="shared" si="2"/>
        <v>1</v>
      </c>
    </row>
    <row r="150" spans="1:3" x14ac:dyDescent="0.3">
      <c r="A150">
        <v>149</v>
      </c>
      <c r="B150" s="7">
        <v>4899791.4313238673</v>
      </c>
      <c r="C150">
        <f t="shared" si="2"/>
        <v>1</v>
      </c>
    </row>
    <row r="151" spans="1:3" x14ac:dyDescent="0.3">
      <c r="A151">
        <v>150</v>
      </c>
      <c r="B151" s="7">
        <v>17878685.848873775</v>
      </c>
      <c r="C151">
        <f t="shared" si="2"/>
        <v>1</v>
      </c>
    </row>
    <row r="152" spans="1:3" x14ac:dyDescent="0.3">
      <c r="A152">
        <v>151</v>
      </c>
      <c r="B152" s="7">
        <v>5586401.9197579632</v>
      </c>
      <c r="C152">
        <f t="shared" si="2"/>
        <v>1</v>
      </c>
    </row>
    <row r="153" spans="1:3" x14ac:dyDescent="0.3">
      <c r="A153">
        <v>152</v>
      </c>
      <c r="B153" s="7">
        <v>5701560.8363361508</v>
      </c>
      <c r="C153">
        <f t="shared" si="2"/>
        <v>1</v>
      </c>
    </row>
    <row r="154" spans="1:3" x14ac:dyDescent="0.3">
      <c r="A154">
        <v>153</v>
      </c>
      <c r="B154" s="7">
        <v>3569478.1612453209</v>
      </c>
      <c r="C154">
        <f t="shared" si="2"/>
        <v>1</v>
      </c>
    </row>
    <row r="155" spans="1:3" x14ac:dyDescent="0.3">
      <c r="A155">
        <v>154</v>
      </c>
      <c r="B155" s="7">
        <v>11477579.072182141</v>
      </c>
      <c r="C155">
        <f t="shared" si="2"/>
        <v>1</v>
      </c>
    </row>
    <row r="156" spans="1:3" x14ac:dyDescent="0.3">
      <c r="A156">
        <v>155</v>
      </c>
      <c r="B156" s="7">
        <v>8115987.6624028729</v>
      </c>
      <c r="C156">
        <f t="shared" si="2"/>
        <v>1</v>
      </c>
    </row>
    <row r="157" spans="1:3" x14ac:dyDescent="0.3">
      <c r="A157">
        <v>156</v>
      </c>
      <c r="B157" s="7">
        <v>2151307.863016116</v>
      </c>
      <c r="C157">
        <f t="shared" si="2"/>
        <v>1</v>
      </c>
    </row>
    <row r="158" spans="1:3" x14ac:dyDescent="0.3">
      <c r="A158">
        <v>157</v>
      </c>
      <c r="B158" s="7">
        <v>2772114.9247030513</v>
      </c>
      <c r="C158">
        <f t="shared" si="2"/>
        <v>1</v>
      </c>
    </row>
    <row r="159" spans="1:3" x14ac:dyDescent="0.3">
      <c r="A159">
        <v>158</v>
      </c>
      <c r="B159" s="7">
        <v>7630960.4805399282</v>
      </c>
      <c r="C159">
        <f t="shared" si="2"/>
        <v>1</v>
      </c>
    </row>
    <row r="160" spans="1:3" x14ac:dyDescent="0.3">
      <c r="A160">
        <v>159</v>
      </c>
      <c r="B160" s="7">
        <v>3592937.7889736174</v>
      </c>
      <c r="C160">
        <f t="shared" si="2"/>
        <v>1</v>
      </c>
    </row>
    <row r="161" spans="1:3" x14ac:dyDescent="0.3">
      <c r="A161">
        <v>160</v>
      </c>
      <c r="B161" s="7">
        <v>9854567.5978555046</v>
      </c>
      <c r="C161">
        <f t="shared" si="2"/>
        <v>1</v>
      </c>
    </row>
    <row r="162" spans="1:3" x14ac:dyDescent="0.3">
      <c r="A162">
        <v>161</v>
      </c>
      <c r="B162" s="7">
        <v>2797647.863007233</v>
      </c>
      <c r="C162">
        <f t="shared" si="2"/>
        <v>1</v>
      </c>
    </row>
    <row r="163" spans="1:3" x14ac:dyDescent="0.3">
      <c r="A163">
        <v>162</v>
      </c>
      <c r="B163" s="7">
        <v>2248848.6611335701</v>
      </c>
      <c r="C163">
        <f t="shared" si="2"/>
        <v>1</v>
      </c>
    </row>
    <row r="164" spans="1:3" x14ac:dyDescent="0.3">
      <c r="A164">
        <v>163</v>
      </c>
      <c r="B164" s="7">
        <v>5132970.2775028562</v>
      </c>
      <c r="C164">
        <f t="shared" si="2"/>
        <v>1</v>
      </c>
    </row>
    <row r="165" spans="1:3" x14ac:dyDescent="0.3">
      <c r="A165">
        <v>164</v>
      </c>
      <c r="B165" s="7">
        <v>1024721.9224391417</v>
      </c>
      <c r="C165">
        <f t="shared" si="2"/>
        <v>1</v>
      </c>
    </row>
    <row r="166" spans="1:3" x14ac:dyDescent="0.3">
      <c r="A166">
        <v>165</v>
      </c>
      <c r="B166" s="7">
        <v>9705590.91591122</v>
      </c>
      <c r="C166">
        <f t="shared" si="2"/>
        <v>1</v>
      </c>
    </row>
    <row r="167" spans="1:3" x14ac:dyDescent="0.3">
      <c r="A167">
        <v>166</v>
      </c>
      <c r="B167" s="7">
        <v>6573308.2138574608</v>
      </c>
      <c r="C167">
        <f t="shared" si="2"/>
        <v>1</v>
      </c>
    </row>
    <row r="168" spans="1:3" x14ac:dyDescent="0.3">
      <c r="A168">
        <v>167</v>
      </c>
      <c r="B168" s="7">
        <v>16455069.33926576</v>
      </c>
      <c r="C168">
        <f t="shared" si="2"/>
        <v>1</v>
      </c>
    </row>
    <row r="169" spans="1:3" x14ac:dyDescent="0.3">
      <c r="A169">
        <v>168</v>
      </c>
      <c r="B169" s="7">
        <v>5087763.6658852464</v>
      </c>
      <c r="C169">
        <f t="shared" si="2"/>
        <v>1</v>
      </c>
    </row>
    <row r="170" spans="1:3" x14ac:dyDescent="0.3">
      <c r="A170">
        <v>169</v>
      </c>
      <c r="B170" s="7">
        <v>4198662.4138045264</v>
      </c>
      <c r="C170">
        <f t="shared" si="2"/>
        <v>1</v>
      </c>
    </row>
    <row r="171" spans="1:3" x14ac:dyDescent="0.3">
      <c r="A171">
        <v>170</v>
      </c>
      <c r="B171" s="7">
        <v>3456211.7989084716</v>
      </c>
      <c r="C171">
        <f t="shared" si="2"/>
        <v>1</v>
      </c>
    </row>
    <row r="172" spans="1:3" x14ac:dyDescent="0.3">
      <c r="A172">
        <v>171</v>
      </c>
      <c r="B172" s="7">
        <v>3315724.2452069656</v>
      </c>
      <c r="C172">
        <f t="shared" si="2"/>
        <v>1</v>
      </c>
    </row>
    <row r="173" spans="1:3" x14ac:dyDescent="0.3">
      <c r="A173">
        <v>172</v>
      </c>
      <c r="B173" s="7">
        <v>1624117.0934458072</v>
      </c>
      <c r="C173">
        <f t="shared" si="2"/>
        <v>1</v>
      </c>
    </row>
    <row r="174" spans="1:3" x14ac:dyDescent="0.3">
      <c r="A174">
        <v>173</v>
      </c>
      <c r="B174" s="7">
        <v>8829342.4539495204</v>
      </c>
      <c r="C174">
        <f t="shared" si="2"/>
        <v>1</v>
      </c>
    </row>
    <row r="175" spans="1:3" x14ac:dyDescent="0.3">
      <c r="A175">
        <v>174</v>
      </c>
      <c r="B175" s="7">
        <v>4330324.2926346539</v>
      </c>
      <c r="C175">
        <f t="shared" si="2"/>
        <v>1</v>
      </c>
    </row>
    <row r="176" spans="1:3" x14ac:dyDescent="0.3">
      <c r="A176">
        <v>175</v>
      </c>
      <c r="B176" s="7">
        <v>2482812.8299792456</v>
      </c>
      <c r="C176">
        <f t="shared" si="2"/>
        <v>1</v>
      </c>
    </row>
    <row r="177" spans="1:3" x14ac:dyDescent="0.3">
      <c r="A177">
        <v>176</v>
      </c>
      <c r="B177" s="7">
        <v>1436809.8586317243</v>
      </c>
      <c r="C177">
        <f t="shared" si="2"/>
        <v>1</v>
      </c>
    </row>
    <row r="178" spans="1:3" x14ac:dyDescent="0.3">
      <c r="A178">
        <v>177</v>
      </c>
      <c r="B178" s="7">
        <v>1170342.0097356106</v>
      </c>
      <c r="C178">
        <f t="shared" si="2"/>
        <v>1</v>
      </c>
    </row>
    <row r="179" spans="1:3" x14ac:dyDescent="0.3">
      <c r="A179">
        <v>178</v>
      </c>
      <c r="B179" s="7">
        <v>3568839.0707455855</v>
      </c>
      <c r="C179">
        <f t="shared" si="2"/>
        <v>1</v>
      </c>
    </row>
    <row r="180" spans="1:3" x14ac:dyDescent="0.3">
      <c r="A180">
        <v>179</v>
      </c>
      <c r="B180" s="7">
        <v>14673377.237758486</v>
      </c>
      <c r="C180">
        <f t="shared" si="2"/>
        <v>1</v>
      </c>
    </row>
    <row r="181" spans="1:3" x14ac:dyDescent="0.3">
      <c r="A181">
        <v>180</v>
      </c>
      <c r="B181" s="7">
        <v>6981644.1163272727</v>
      </c>
      <c r="C181">
        <f t="shared" si="2"/>
        <v>1</v>
      </c>
    </row>
    <row r="182" spans="1:3" x14ac:dyDescent="0.3">
      <c r="A182">
        <v>181</v>
      </c>
      <c r="B182" s="7">
        <v>13416862.3524934</v>
      </c>
      <c r="C182">
        <f t="shared" si="2"/>
        <v>1</v>
      </c>
    </row>
    <row r="183" spans="1:3" x14ac:dyDescent="0.3">
      <c r="A183">
        <v>182</v>
      </c>
      <c r="B183" s="7">
        <v>1702833.374128364</v>
      </c>
      <c r="C183">
        <f t="shared" si="2"/>
        <v>1</v>
      </c>
    </row>
    <row r="184" spans="1:3" x14ac:dyDescent="0.3">
      <c r="A184">
        <v>183</v>
      </c>
      <c r="B184" s="7">
        <v>1598664.9346256542</v>
      </c>
      <c r="C184">
        <f t="shared" si="2"/>
        <v>1</v>
      </c>
    </row>
    <row r="185" spans="1:3" x14ac:dyDescent="0.3">
      <c r="A185">
        <v>184</v>
      </c>
      <c r="B185" s="7">
        <v>12175359.630194815</v>
      </c>
      <c r="C185">
        <f t="shared" si="2"/>
        <v>1</v>
      </c>
    </row>
    <row r="186" spans="1:3" x14ac:dyDescent="0.3">
      <c r="A186">
        <v>185</v>
      </c>
      <c r="B186" s="7">
        <v>8948066.1233501267</v>
      </c>
      <c r="C186">
        <f t="shared" si="2"/>
        <v>1</v>
      </c>
    </row>
    <row r="187" spans="1:3" x14ac:dyDescent="0.3">
      <c r="A187">
        <v>186</v>
      </c>
      <c r="B187" s="7">
        <v>2474853.7805358539</v>
      </c>
      <c r="C187">
        <f t="shared" si="2"/>
        <v>1</v>
      </c>
    </row>
    <row r="188" spans="1:3" x14ac:dyDescent="0.3">
      <c r="A188">
        <v>187</v>
      </c>
      <c r="B188" s="7">
        <v>1813087.5160650064</v>
      </c>
      <c r="C188">
        <f t="shared" si="2"/>
        <v>1</v>
      </c>
    </row>
    <row r="189" spans="1:3" x14ac:dyDescent="0.3">
      <c r="A189">
        <v>188</v>
      </c>
      <c r="B189" s="7">
        <v>40465203.130413212</v>
      </c>
      <c r="C189">
        <f t="shared" si="2"/>
        <v>1</v>
      </c>
    </row>
    <row r="190" spans="1:3" x14ac:dyDescent="0.3">
      <c r="A190">
        <v>189</v>
      </c>
      <c r="B190" s="7">
        <v>2277363.5769255483</v>
      </c>
      <c r="C190">
        <f t="shared" si="2"/>
        <v>1</v>
      </c>
    </row>
    <row r="191" spans="1:3" x14ac:dyDescent="0.3">
      <c r="A191">
        <v>190</v>
      </c>
      <c r="B191" s="7">
        <v>4309053.8985634474</v>
      </c>
      <c r="C191">
        <f t="shared" si="2"/>
        <v>1</v>
      </c>
    </row>
    <row r="192" spans="1:3" x14ac:dyDescent="0.3">
      <c r="A192">
        <v>191</v>
      </c>
      <c r="B192" s="7">
        <v>5932992.9229168016</v>
      </c>
      <c r="C192">
        <f t="shared" si="2"/>
        <v>1</v>
      </c>
    </row>
    <row r="193" spans="1:3" x14ac:dyDescent="0.3">
      <c r="A193">
        <v>192</v>
      </c>
      <c r="B193" s="7">
        <v>1912261.5883976836</v>
      </c>
      <c r="C193">
        <f t="shared" si="2"/>
        <v>1</v>
      </c>
    </row>
    <row r="194" spans="1:3" x14ac:dyDescent="0.3">
      <c r="A194">
        <v>193</v>
      </c>
      <c r="B194" s="7">
        <v>9724532.9293288831</v>
      </c>
      <c r="C194">
        <f t="shared" si="2"/>
        <v>1</v>
      </c>
    </row>
    <row r="195" spans="1:3" x14ac:dyDescent="0.3">
      <c r="A195">
        <v>194</v>
      </c>
      <c r="B195" s="7">
        <v>12207269.456647025</v>
      </c>
      <c r="C195">
        <f t="shared" ref="C195:C258" si="3">IF(B195=0,0,1)</f>
        <v>1</v>
      </c>
    </row>
    <row r="196" spans="1:3" x14ac:dyDescent="0.3">
      <c r="A196">
        <v>195</v>
      </c>
      <c r="B196" s="7">
        <v>14305749.277229356</v>
      </c>
      <c r="C196">
        <f t="shared" si="3"/>
        <v>1</v>
      </c>
    </row>
    <row r="197" spans="1:3" x14ac:dyDescent="0.3">
      <c r="A197">
        <v>196</v>
      </c>
      <c r="B197" s="7">
        <v>4925322.3676195387</v>
      </c>
      <c r="C197">
        <f t="shared" si="3"/>
        <v>1</v>
      </c>
    </row>
    <row r="198" spans="1:3" x14ac:dyDescent="0.3">
      <c r="A198">
        <v>197</v>
      </c>
      <c r="B198" s="7">
        <v>3375196.5827337131</v>
      </c>
      <c r="C198">
        <f t="shared" si="3"/>
        <v>1</v>
      </c>
    </row>
    <row r="199" spans="1:3" x14ac:dyDescent="0.3">
      <c r="A199">
        <v>198</v>
      </c>
      <c r="B199" s="7">
        <v>17067664.250559915</v>
      </c>
      <c r="C199">
        <f t="shared" si="3"/>
        <v>1</v>
      </c>
    </row>
    <row r="200" spans="1:3" x14ac:dyDescent="0.3">
      <c r="A200">
        <v>199</v>
      </c>
      <c r="B200" s="7">
        <v>3189351.9001121419</v>
      </c>
      <c r="C200">
        <f t="shared" si="3"/>
        <v>1</v>
      </c>
    </row>
    <row r="201" spans="1:3" x14ac:dyDescent="0.3">
      <c r="A201">
        <v>200</v>
      </c>
      <c r="B201" s="7">
        <v>6838287.0776587846</v>
      </c>
      <c r="C201">
        <f t="shared" si="3"/>
        <v>1</v>
      </c>
    </row>
    <row r="202" spans="1:3" x14ac:dyDescent="0.3">
      <c r="A202">
        <v>201</v>
      </c>
      <c r="B202" s="7">
        <v>10647440.540830176</v>
      </c>
      <c r="C202">
        <f t="shared" si="3"/>
        <v>1</v>
      </c>
    </row>
    <row r="203" spans="1:3" x14ac:dyDescent="0.3">
      <c r="A203">
        <v>202</v>
      </c>
      <c r="B203" s="7">
        <v>1344527.9988153407</v>
      </c>
      <c r="C203">
        <f t="shared" si="3"/>
        <v>1</v>
      </c>
    </row>
    <row r="204" spans="1:3" x14ac:dyDescent="0.3">
      <c r="A204">
        <v>203</v>
      </c>
      <c r="B204" s="7">
        <v>3775636.6589211593</v>
      </c>
      <c r="C204">
        <f t="shared" si="3"/>
        <v>1</v>
      </c>
    </row>
    <row r="205" spans="1:3" x14ac:dyDescent="0.3">
      <c r="A205">
        <v>204</v>
      </c>
      <c r="B205" s="7">
        <v>5135666.6167588001</v>
      </c>
      <c r="C205">
        <f t="shared" si="3"/>
        <v>1</v>
      </c>
    </row>
    <row r="206" spans="1:3" x14ac:dyDescent="0.3">
      <c r="A206">
        <v>205</v>
      </c>
      <c r="B206" s="7">
        <v>71875.823220005623</v>
      </c>
      <c r="C206">
        <f t="shared" si="3"/>
        <v>1</v>
      </c>
    </row>
    <row r="207" spans="1:3" x14ac:dyDescent="0.3">
      <c r="A207">
        <v>206</v>
      </c>
      <c r="B207" s="7">
        <v>4568623.3447969295</v>
      </c>
      <c r="C207">
        <f t="shared" si="3"/>
        <v>1</v>
      </c>
    </row>
    <row r="208" spans="1:3" x14ac:dyDescent="0.3">
      <c r="A208">
        <v>207</v>
      </c>
      <c r="B208" s="7">
        <v>4699473.5940285996</v>
      </c>
      <c r="C208">
        <f t="shared" si="3"/>
        <v>1</v>
      </c>
    </row>
    <row r="209" spans="1:3" x14ac:dyDescent="0.3">
      <c r="A209">
        <v>208</v>
      </c>
      <c r="B209" s="7">
        <v>8132606.6471281312</v>
      </c>
      <c r="C209">
        <f t="shared" si="3"/>
        <v>1</v>
      </c>
    </row>
    <row r="210" spans="1:3" x14ac:dyDescent="0.3">
      <c r="A210">
        <v>209</v>
      </c>
      <c r="B210" s="7">
        <v>11011688.641189875</v>
      </c>
      <c r="C210">
        <f t="shared" si="3"/>
        <v>1</v>
      </c>
    </row>
    <row r="211" spans="1:3" x14ac:dyDescent="0.3">
      <c r="A211">
        <v>210</v>
      </c>
      <c r="B211" s="7">
        <v>3326107.3977543917</v>
      </c>
      <c r="C211">
        <f t="shared" si="3"/>
        <v>1</v>
      </c>
    </row>
    <row r="212" spans="1:3" x14ac:dyDescent="0.3">
      <c r="A212">
        <v>211</v>
      </c>
      <c r="B212" s="7">
        <v>7846421.4828844229</v>
      </c>
      <c r="C212">
        <f t="shared" si="3"/>
        <v>1</v>
      </c>
    </row>
    <row r="213" spans="1:3" x14ac:dyDescent="0.3">
      <c r="A213">
        <v>212</v>
      </c>
      <c r="B213" s="7">
        <v>8218180.9010784319</v>
      </c>
      <c r="C213">
        <f t="shared" si="3"/>
        <v>1</v>
      </c>
    </row>
    <row r="214" spans="1:3" x14ac:dyDescent="0.3">
      <c r="A214">
        <v>213</v>
      </c>
      <c r="B214" s="7">
        <v>7235230.9976163246</v>
      </c>
      <c r="C214">
        <f t="shared" si="3"/>
        <v>1</v>
      </c>
    </row>
    <row r="215" spans="1:3" x14ac:dyDescent="0.3">
      <c r="A215">
        <v>214</v>
      </c>
      <c r="B215" s="7">
        <v>3171833.5096473149</v>
      </c>
      <c r="C215">
        <f t="shared" si="3"/>
        <v>1</v>
      </c>
    </row>
    <row r="216" spans="1:3" x14ac:dyDescent="0.3">
      <c r="A216">
        <v>215</v>
      </c>
      <c r="B216" s="7">
        <v>11661764.818975655</v>
      </c>
      <c r="C216">
        <f t="shared" si="3"/>
        <v>1</v>
      </c>
    </row>
    <row r="217" spans="1:3" x14ac:dyDescent="0.3">
      <c r="A217">
        <v>216</v>
      </c>
      <c r="B217" s="7">
        <v>1954267.0202078582</v>
      </c>
      <c r="C217">
        <f t="shared" si="3"/>
        <v>1</v>
      </c>
    </row>
    <row r="218" spans="1:3" x14ac:dyDescent="0.3">
      <c r="A218">
        <v>217</v>
      </c>
      <c r="B218" s="7">
        <v>3822452.0435518143</v>
      </c>
      <c r="C218">
        <f t="shared" si="3"/>
        <v>1</v>
      </c>
    </row>
    <row r="219" spans="1:3" x14ac:dyDescent="0.3">
      <c r="A219">
        <v>218</v>
      </c>
      <c r="B219" s="7">
        <v>4624526.3852953641</v>
      </c>
      <c r="C219">
        <f t="shared" si="3"/>
        <v>1</v>
      </c>
    </row>
    <row r="220" spans="1:3" x14ac:dyDescent="0.3">
      <c r="A220">
        <v>219</v>
      </c>
      <c r="B220" s="7">
        <v>3029725.9482790604</v>
      </c>
      <c r="C220">
        <f t="shared" si="3"/>
        <v>1</v>
      </c>
    </row>
    <row r="221" spans="1:3" x14ac:dyDescent="0.3">
      <c r="A221">
        <v>220</v>
      </c>
      <c r="B221" s="7">
        <v>29511779.238771092</v>
      </c>
      <c r="C221">
        <f t="shared" si="3"/>
        <v>1</v>
      </c>
    </row>
    <row r="222" spans="1:3" x14ac:dyDescent="0.3">
      <c r="A222">
        <v>221</v>
      </c>
      <c r="B222" s="7">
        <v>8216372.401685372</v>
      </c>
      <c r="C222">
        <f t="shared" si="3"/>
        <v>1</v>
      </c>
    </row>
    <row r="223" spans="1:3" x14ac:dyDescent="0.3">
      <c r="A223">
        <v>222</v>
      </c>
      <c r="B223" s="7">
        <v>12478255.246948883</v>
      </c>
      <c r="C223">
        <f t="shared" si="3"/>
        <v>1</v>
      </c>
    </row>
    <row r="224" spans="1:3" x14ac:dyDescent="0.3">
      <c r="A224">
        <v>223</v>
      </c>
      <c r="B224" s="7">
        <v>4543117.7410052484</v>
      </c>
      <c r="C224">
        <f t="shared" si="3"/>
        <v>1</v>
      </c>
    </row>
    <row r="225" spans="1:3" x14ac:dyDescent="0.3">
      <c r="A225">
        <v>224</v>
      </c>
      <c r="B225" s="7">
        <v>3967238.6524214498</v>
      </c>
      <c r="C225">
        <f t="shared" si="3"/>
        <v>1</v>
      </c>
    </row>
    <row r="226" spans="1:3" x14ac:dyDescent="0.3">
      <c r="A226">
        <v>225</v>
      </c>
      <c r="B226" s="7">
        <v>2320217.1195539967</v>
      </c>
      <c r="C226">
        <f t="shared" si="3"/>
        <v>1</v>
      </c>
    </row>
    <row r="227" spans="1:3" x14ac:dyDescent="0.3">
      <c r="A227">
        <v>226</v>
      </c>
      <c r="B227" s="7">
        <v>967216.79308216111</v>
      </c>
      <c r="C227">
        <f t="shared" si="3"/>
        <v>1</v>
      </c>
    </row>
    <row r="228" spans="1:3" x14ac:dyDescent="0.3">
      <c r="A228">
        <v>227</v>
      </c>
      <c r="B228" s="7">
        <v>1493683.8805041469</v>
      </c>
      <c r="C228">
        <f t="shared" si="3"/>
        <v>1</v>
      </c>
    </row>
    <row r="229" spans="1:3" x14ac:dyDescent="0.3">
      <c r="A229">
        <v>228</v>
      </c>
      <c r="B229" s="7">
        <v>5380786.5928887697</v>
      </c>
      <c r="C229">
        <f t="shared" si="3"/>
        <v>1</v>
      </c>
    </row>
    <row r="230" spans="1:3" x14ac:dyDescent="0.3">
      <c r="A230">
        <v>229</v>
      </c>
      <c r="B230" s="7">
        <v>2740182.5336528723</v>
      </c>
      <c r="C230">
        <f t="shared" si="3"/>
        <v>1</v>
      </c>
    </row>
    <row r="231" spans="1:3" x14ac:dyDescent="0.3">
      <c r="A231">
        <v>230</v>
      </c>
      <c r="B231" s="7">
        <v>1256160.1418058865</v>
      </c>
      <c r="C231">
        <f t="shared" si="3"/>
        <v>1</v>
      </c>
    </row>
    <row r="232" spans="1:3" x14ac:dyDescent="0.3">
      <c r="A232">
        <v>231</v>
      </c>
      <c r="B232" s="7">
        <v>7712788.7618500087</v>
      </c>
      <c r="C232">
        <f t="shared" si="3"/>
        <v>1</v>
      </c>
    </row>
    <row r="233" spans="1:3" x14ac:dyDescent="0.3">
      <c r="A233">
        <v>232</v>
      </c>
      <c r="B233" s="7">
        <v>14155529.069975238</v>
      </c>
      <c r="C233">
        <f t="shared" si="3"/>
        <v>1</v>
      </c>
    </row>
    <row r="234" spans="1:3" x14ac:dyDescent="0.3">
      <c r="A234">
        <v>233</v>
      </c>
      <c r="B234" s="7">
        <v>1354167.5189208298</v>
      </c>
      <c r="C234">
        <f t="shared" si="3"/>
        <v>1</v>
      </c>
    </row>
    <row r="235" spans="1:3" x14ac:dyDescent="0.3">
      <c r="A235">
        <v>234</v>
      </c>
      <c r="B235" s="7">
        <v>5616859.0861145919</v>
      </c>
      <c r="C235">
        <f t="shared" si="3"/>
        <v>1</v>
      </c>
    </row>
    <row r="236" spans="1:3" x14ac:dyDescent="0.3">
      <c r="A236">
        <v>235</v>
      </c>
      <c r="B236" s="7">
        <v>3335300.1867055427</v>
      </c>
      <c r="C236">
        <f t="shared" si="3"/>
        <v>1</v>
      </c>
    </row>
    <row r="237" spans="1:3" x14ac:dyDescent="0.3">
      <c r="A237">
        <v>236</v>
      </c>
      <c r="B237" s="7">
        <v>10455034.123009924</v>
      </c>
      <c r="C237">
        <f t="shared" si="3"/>
        <v>1</v>
      </c>
    </row>
    <row r="238" spans="1:3" x14ac:dyDescent="0.3">
      <c r="A238">
        <v>237</v>
      </c>
      <c r="B238" s="7">
        <v>5007796.6967879832</v>
      </c>
      <c r="C238">
        <f t="shared" si="3"/>
        <v>1</v>
      </c>
    </row>
    <row r="239" spans="1:3" x14ac:dyDescent="0.3">
      <c r="A239">
        <v>238</v>
      </c>
      <c r="B239" s="7">
        <v>4003898.5177556025</v>
      </c>
      <c r="C239">
        <f t="shared" si="3"/>
        <v>1</v>
      </c>
    </row>
    <row r="240" spans="1:3" x14ac:dyDescent="0.3">
      <c r="A240">
        <v>239</v>
      </c>
      <c r="B240" s="7">
        <v>6225970.8191899536</v>
      </c>
      <c r="C240">
        <f t="shared" si="3"/>
        <v>1</v>
      </c>
    </row>
    <row r="241" spans="1:3" x14ac:dyDescent="0.3">
      <c r="A241">
        <v>240</v>
      </c>
      <c r="B241" s="7">
        <v>1395839.7382678541</v>
      </c>
      <c r="C241">
        <f t="shared" si="3"/>
        <v>1</v>
      </c>
    </row>
    <row r="242" spans="1:3" x14ac:dyDescent="0.3">
      <c r="A242">
        <v>241</v>
      </c>
      <c r="B242" s="7">
        <v>5247843.7523323968</v>
      </c>
      <c r="C242">
        <f t="shared" si="3"/>
        <v>1</v>
      </c>
    </row>
    <row r="243" spans="1:3" x14ac:dyDescent="0.3">
      <c r="A243">
        <v>242</v>
      </c>
      <c r="B243" s="7">
        <v>6247767.2720575202</v>
      </c>
      <c r="C243">
        <f t="shared" si="3"/>
        <v>1</v>
      </c>
    </row>
    <row r="244" spans="1:3" x14ac:dyDescent="0.3">
      <c r="A244">
        <v>243</v>
      </c>
      <c r="B244" s="7">
        <v>12461024.340476356</v>
      </c>
      <c r="C244">
        <f t="shared" si="3"/>
        <v>1</v>
      </c>
    </row>
    <row r="245" spans="1:3" x14ac:dyDescent="0.3">
      <c r="A245">
        <v>244</v>
      </c>
      <c r="B245" s="7">
        <v>2085296.0952181208</v>
      </c>
      <c r="C245">
        <f t="shared" si="3"/>
        <v>1</v>
      </c>
    </row>
    <row r="246" spans="1:3" x14ac:dyDescent="0.3">
      <c r="A246">
        <v>245</v>
      </c>
      <c r="B246" s="7">
        <v>1924189.4648152764</v>
      </c>
      <c r="C246">
        <f t="shared" si="3"/>
        <v>1</v>
      </c>
    </row>
    <row r="247" spans="1:3" x14ac:dyDescent="0.3">
      <c r="A247">
        <v>246</v>
      </c>
      <c r="B247" s="7">
        <v>7959851.6535483934</v>
      </c>
      <c r="C247">
        <f t="shared" si="3"/>
        <v>1</v>
      </c>
    </row>
    <row r="248" spans="1:3" x14ac:dyDescent="0.3">
      <c r="A248">
        <v>247</v>
      </c>
      <c r="B248" s="7">
        <v>428999.51676469482</v>
      </c>
      <c r="C248">
        <f t="shared" si="3"/>
        <v>1</v>
      </c>
    </row>
    <row r="249" spans="1:3" x14ac:dyDescent="0.3">
      <c r="A249">
        <v>248</v>
      </c>
      <c r="B249" s="7">
        <v>4736854.8440819411</v>
      </c>
      <c r="C249">
        <f t="shared" si="3"/>
        <v>1</v>
      </c>
    </row>
    <row r="250" spans="1:3" x14ac:dyDescent="0.3">
      <c r="A250">
        <v>249</v>
      </c>
      <c r="B250" s="7">
        <v>5717930.1819332493</v>
      </c>
      <c r="C250">
        <f t="shared" si="3"/>
        <v>1</v>
      </c>
    </row>
    <row r="251" spans="1:3" x14ac:dyDescent="0.3">
      <c r="A251">
        <v>250</v>
      </c>
      <c r="B251" s="7">
        <v>8643863.8539295532</v>
      </c>
      <c r="C251">
        <f t="shared" si="3"/>
        <v>1</v>
      </c>
    </row>
    <row r="252" spans="1:3" x14ac:dyDescent="0.3">
      <c r="A252">
        <v>251</v>
      </c>
      <c r="B252" s="7">
        <v>2767014.461726923</v>
      </c>
      <c r="C252">
        <f t="shared" si="3"/>
        <v>1</v>
      </c>
    </row>
    <row r="253" spans="1:3" x14ac:dyDescent="0.3">
      <c r="A253">
        <v>252</v>
      </c>
      <c r="B253" s="7">
        <v>7355738.6786455624</v>
      </c>
      <c r="C253">
        <f t="shared" si="3"/>
        <v>1</v>
      </c>
    </row>
    <row r="254" spans="1:3" x14ac:dyDescent="0.3">
      <c r="A254">
        <v>253</v>
      </c>
      <c r="B254" s="7">
        <v>7367767.9358434593</v>
      </c>
      <c r="C254">
        <f t="shared" si="3"/>
        <v>1</v>
      </c>
    </row>
    <row r="255" spans="1:3" x14ac:dyDescent="0.3">
      <c r="A255">
        <v>254</v>
      </c>
      <c r="B255" s="7">
        <v>110672.34464418064</v>
      </c>
      <c r="C255">
        <f t="shared" si="3"/>
        <v>1</v>
      </c>
    </row>
    <row r="256" spans="1:3" x14ac:dyDescent="0.3">
      <c r="A256">
        <v>255</v>
      </c>
      <c r="B256" s="7">
        <v>5507304.0798578337</v>
      </c>
      <c r="C256">
        <f t="shared" si="3"/>
        <v>1</v>
      </c>
    </row>
    <row r="257" spans="1:3" x14ac:dyDescent="0.3">
      <c r="A257">
        <v>256</v>
      </c>
      <c r="B257" s="7">
        <v>18662854.499897961</v>
      </c>
      <c r="C257">
        <f t="shared" si="3"/>
        <v>1</v>
      </c>
    </row>
    <row r="258" spans="1:3" x14ac:dyDescent="0.3">
      <c r="A258">
        <v>257</v>
      </c>
      <c r="B258" s="7">
        <v>4282335.4782284237</v>
      </c>
      <c r="C258">
        <f t="shared" si="3"/>
        <v>1</v>
      </c>
    </row>
    <row r="259" spans="1:3" x14ac:dyDescent="0.3">
      <c r="A259">
        <v>258</v>
      </c>
      <c r="B259" s="7">
        <v>4826827.0368717602</v>
      </c>
      <c r="C259">
        <f t="shared" ref="C259:C322" si="4">IF(B259=0,0,1)</f>
        <v>1</v>
      </c>
    </row>
    <row r="260" spans="1:3" x14ac:dyDescent="0.3">
      <c r="A260">
        <v>259</v>
      </c>
      <c r="B260" s="7">
        <v>1044018.8760456665</v>
      </c>
      <c r="C260">
        <f t="shared" si="4"/>
        <v>1</v>
      </c>
    </row>
    <row r="261" spans="1:3" x14ac:dyDescent="0.3">
      <c r="A261">
        <v>260</v>
      </c>
      <c r="B261" s="7">
        <v>0</v>
      </c>
      <c r="C261">
        <f t="shared" si="4"/>
        <v>0</v>
      </c>
    </row>
    <row r="262" spans="1:3" x14ac:dyDescent="0.3">
      <c r="A262">
        <v>261</v>
      </c>
      <c r="B262" s="7">
        <v>20818999.104329985</v>
      </c>
      <c r="C262">
        <f t="shared" si="4"/>
        <v>1</v>
      </c>
    </row>
    <row r="263" spans="1:3" x14ac:dyDescent="0.3">
      <c r="A263">
        <v>262</v>
      </c>
      <c r="B263" s="7">
        <v>6727690.008596682</v>
      </c>
      <c r="C263">
        <f t="shared" si="4"/>
        <v>1</v>
      </c>
    </row>
    <row r="264" spans="1:3" x14ac:dyDescent="0.3">
      <c r="A264">
        <v>263</v>
      </c>
      <c r="B264" s="7">
        <v>7518724.6320255883</v>
      </c>
      <c r="C264">
        <f t="shared" si="4"/>
        <v>1</v>
      </c>
    </row>
    <row r="265" spans="1:3" x14ac:dyDescent="0.3">
      <c r="A265">
        <v>264</v>
      </c>
      <c r="B265" s="7">
        <v>3109266.0837900462</v>
      </c>
      <c r="C265">
        <f t="shared" si="4"/>
        <v>1</v>
      </c>
    </row>
    <row r="266" spans="1:3" x14ac:dyDescent="0.3">
      <c r="A266">
        <v>265</v>
      </c>
      <c r="B266" s="7">
        <v>4140247.9173024162</v>
      </c>
      <c r="C266">
        <f t="shared" si="4"/>
        <v>1</v>
      </c>
    </row>
    <row r="267" spans="1:3" x14ac:dyDescent="0.3">
      <c r="A267">
        <v>266</v>
      </c>
      <c r="B267" s="7">
        <v>645409.67606024689</v>
      </c>
      <c r="C267">
        <f t="shared" si="4"/>
        <v>1</v>
      </c>
    </row>
    <row r="268" spans="1:3" x14ac:dyDescent="0.3">
      <c r="A268">
        <v>267</v>
      </c>
      <c r="B268" s="7">
        <v>2422778.8920192737</v>
      </c>
      <c r="C268">
        <f t="shared" si="4"/>
        <v>1</v>
      </c>
    </row>
    <row r="269" spans="1:3" x14ac:dyDescent="0.3">
      <c r="A269">
        <v>268</v>
      </c>
      <c r="B269" s="7">
        <v>1016190.2685689576</v>
      </c>
      <c r="C269">
        <f t="shared" si="4"/>
        <v>1</v>
      </c>
    </row>
    <row r="270" spans="1:3" x14ac:dyDescent="0.3">
      <c r="A270">
        <v>269</v>
      </c>
      <c r="B270" s="7">
        <v>0</v>
      </c>
      <c r="C270">
        <f t="shared" si="4"/>
        <v>0</v>
      </c>
    </row>
    <row r="271" spans="1:3" x14ac:dyDescent="0.3">
      <c r="A271">
        <v>270</v>
      </c>
      <c r="B271" s="7">
        <v>1934741.6073366906</v>
      </c>
      <c r="C271">
        <f t="shared" si="4"/>
        <v>1</v>
      </c>
    </row>
    <row r="272" spans="1:3" x14ac:dyDescent="0.3">
      <c r="A272">
        <v>271</v>
      </c>
      <c r="B272" s="7">
        <v>3104684.5807170602</v>
      </c>
      <c r="C272">
        <f t="shared" si="4"/>
        <v>1</v>
      </c>
    </row>
    <row r="273" spans="1:3" x14ac:dyDescent="0.3">
      <c r="A273">
        <v>272</v>
      </c>
      <c r="B273" s="7">
        <v>11657827.331751587</v>
      </c>
      <c r="C273">
        <f t="shared" si="4"/>
        <v>1</v>
      </c>
    </row>
    <row r="274" spans="1:3" x14ac:dyDescent="0.3">
      <c r="A274">
        <v>273</v>
      </c>
      <c r="B274" s="7">
        <v>16363737.583989201</v>
      </c>
      <c r="C274">
        <f t="shared" si="4"/>
        <v>1</v>
      </c>
    </row>
    <row r="275" spans="1:3" x14ac:dyDescent="0.3">
      <c r="A275">
        <v>274</v>
      </c>
      <c r="B275" s="7">
        <v>4277594.1576744812</v>
      </c>
      <c r="C275">
        <f t="shared" si="4"/>
        <v>1</v>
      </c>
    </row>
    <row r="276" spans="1:3" x14ac:dyDescent="0.3">
      <c r="A276">
        <v>275</v>
      </c>
      <c r="B276" s="7">
        <v>3958234.9595385217</v>
      </c>
      <c r="C276">
        <f t="shared" si="4"/>
        <v>1</v>
      </c>
    </row>
    <row r="277" spans="1:3" x14ac:dyDescent="0.3">
      <c r="A277">
        <v>276</v>
      </c>
      <c r="B277" s="7">
        <v>1523338.0308191748</v>
      </c>
      <c r="C277">
        <f t="shared" si="4"/>
        <v>1</v>
      </c>
    </row>
    <row r="278" spans="1:3" x14ac:dyDescent="0.3">
      <c r="A278">
        <v>277</v>
      </c>
      <c r="B278" s="7">
        <v>1324789.2274524565</v>
      </c>
      <c r="C278">
        <f t="shared" si="4"/>
        <v>1</v>
      </c>
    </row>
    <row r="279" spans="1:3" x14ac:dyDescent="0.3">
      <c r="A279">
        <v>278</v>
      </c>
      <c r="B279" s="7">
        <v>8971970.7084088959</v>
      </c>
      <c r="C279">
        <f t="shared" si="4"/>
        <v>1</v>
      </c>
    </row>
    <row r="280" spans="1:3" x14ac:dyDescent="0.3">
      <c r="A280">
        <v>279</v>
      </c>
      <c r="B280" s="7">
        <v>3950230.9880700693</v>
      </c>
      <c r="C280">
        <f t="shared" si="4"/>
        <v>1</v>
      </c>
    </row>
    <row r="281" spans="1:3" x14ac:dyDescent="0.3">
      <c r="A281">
        <v>280</v>
      </c>
      <c r="B281" s="7">
        <v>14345691.607379351</v>
      </c>
      <c r="C281">
        <f t="shared" si="4"/>
        <v>1</v>
      </c>
    </row>
    <row r="282" spans="1:3" x14ac:dyDescent="0.3">
      <c r="A282">
        <v>281</v>
      </c>
      <c r="B282" s="7">
        <v>11231131.813733995</v>
      </c>
      <c r="C282">
        <f t="shared" si="4"/>
        <v>1</v>
      </c>
    </row>
    <row r="283" spans="1:3" x14ac:dyDescent="0.3">
      <c r="A283">
        <v>282</v>
      </c>
      <c r="B283" s="7">
        <v>3987397.0287979706</v>
      </c>
      <c r="C283">
        <f t="shared" si="4"/>
        <v>1</v>
      </c>
    </row>
    <row r="284" spans="1:3" x14ac:dyDescent="0.3">
      <c r="A284">
        <v>283</v>
      </c>
      <c r="B284" s="7">
        <v>6962243.2755422872</v>
      </c>
      <c r="C284">
        <f t="shared" si="4"/>
        <v>1</v>
      </c>
    </row>
    <row r="285" spans="1:3" x14ac:dyDescent="0.3">
      <c r="A285">
        <v>284</v>
      </c>
      <c r="B285" s="7">
        <v>3521966.5312022963</v>
      </c>
      <c r="C285">
        <f t="shared" si="4"/>
        <v>1</v>
      </c>
    </row>
    <row r="286" spans="1:3" x14ac:dyDescent="0.3">
      <c r="A286">
        <v>285</v>
      </c>
      <c r="B286" s="7">
        <v>1869100.0695471661</v>
      </c>
      <c r="C286">
        <f t="shared" si="4"/>
        <v>1</v>
      </c>
    </row>
    <row r="287" spans="1:3" x14ac:dyDescent="0.3">
      <c r="A287">
        <v>286</v>
      </c>
      <c r="B287" s="7">
        <v>8257780.878549004</v>
      </c>
      <c r="C287">
        <f t="shared" si="4"/>
        <v>1</v>
      </c>
    </row>
    <row r="288" spans="1:3" x14ac:dyDescent="0.3">
      <c r="A288">
        <v>287</v>
      </c>
      <c r="B288" s="7">
        <v>6513960.2382684099</v>
      </c>
      <c r="C288">
        <f t="shared" si="4"/>
        <v>1</v>
      </c>
    </row>
    <row r="289" spans="1:3" x14ac:dyDescent="0.3">
      <c r="A289">
        <v>288</v>
      </c>
      <c r="B289" s="7">
        <v>1572968.169535368</v>
      </c>
      <c r="C289">
        <f t="shared" si="4"/>
        <v>1</v>
      </c>
    </row>
    <row r="290" spans="1:3" x14ac:dyDescent="0.3">
      <c r="A290">
        <v>289</v>
      </c>
      <c r="B290" s="7">
        <v>6747891.8961474383</v>
      </c>
      <c r="C290">
        <f t="shared" si="4"/>
        <v>1</v>
      </c>
    </row>
    <row r="291" spans="1:3" x14ac:dyDescent="0.3">
      <c r="A291">
        <v>290</v>
      </c>
      <c r="B291" s="7">
        <v>3597900.5888425685</v>
      </c>
      <c r="C291">
        <f t="shared" si="4"/>
        <v>1</v>
      </c>
    </row>
    <row r="292" spans="1:3" x14ac:dyDescent="0.3">
      <c r="A292">
        <v>291</v>
      </c>
      <c r="B292" s="7">
        <v>3459097.7508470053</v>
      </c>
      <c r="C292">
        <f t="shared" si="4"/>
        <v>1</v>
      </c>
    </row>
    <row r="293" spans="1:3" x14ac:dyDescent="0.3">
      <c r="A293">
        <v>292</v>
      </c>
      <c r="B293" s="7">
        <v>14734856.325727917</v>
      </c>
      <c r="C293">
        <f t="shared" si="4"/>
        <v>1</v>
      </c>
    </row>
    <row r="294" spans="1:3" x14ac:dyDescent="0.3">
      <c r="A294">
        <v>293</v>
      </c>
      <c r="B294" s="7">
        <v>14745567.748324562</v>
      </c>
      <c r="C294">
        <f t="shared" si="4"/>
        <v>1</v>
      </c>
    </row>
    <row r="295" spans="1:3" x14ac:dyDescent="0.3">
      <c r="A295">
        <v>294</v>
      </c>
      <c r="B295" s="7">
        <v>1846933.9615470653</v>
      </c>
      <c r="C295">
        <f t="shared" si="4"/>
        <v>1</v>
      </c>
    </row>
    <row r="296" spans="1:3" x14ac:dyDescent="0.3">
      <c r="A296">
        <v>295</v>
      </c>
      <c r="B296" s="7">
        <v>14815995.671681978</v>
      </c>
      <c r="C296">
        <f t="shared" si="4"/>
        <v>1</v>
      </c>
    </row>
    <row r="297" spans="1:3" x14ac:dyDescent="0.3">
      <c r="A297">
        <v>296</v>
      </c>
      <c r="B297" s="7">
        <v>3098629.4918627273</v>
      </c>
      <c r="C297">
        <f t="shared" si="4"/>
        <v>1</v>
      </c>
    </row>
    <row r="298" spans="1:3" x14ac:dyDescent="0.3">
      <c r="A298">
        <v>297</v>
      </c>
      <c r="B298" s="7">
        <v>4620467.6486202227</v>
      </c>
      <c r="C298">
        <f t="shared" si="4"/>
        <v>1</v>
      </c>
    </row>
    <row r="299" spans="1:3" x14ac:dyDescent="0.3">
      <c r="A299">
        <v>298</v>
      </c>
      <c r="B299" s="7">
        <v>14789630.730348594</v>
      </c>
      <c r="C299">
        <f t="shared" si="4"/>
        <v>1</v>
      </c>
    </row>
    <row r="300" spans="1:3" x14ac:dyDescent="0.3">
      <c r="A300">
        <v>299</v>
      </c>
      <c r="B300" s="7">
        <v>4442557.0560039822</v>
      </c>
      <c r="C300">
        <f t="shared" si="4"/>
        <v>1</v>
      </c>
    </row>
    <row r="301" spans="1:3" x14ac:dyDescent="0.3">
      <c r="A301">
        <v>300</v>
      </c>
      <c r="B301" s="7">
        <v>5931763.9431710588</v>
      </c>
      <c r="C301">
        <f t="shared" si="4"/>
        <v>1</v>
      </c>
    </row>
    <row r="302" spans="1:3" x14ac:dyDescent="0.3">
      <c r="A302">
        <v>301</v>
      </c>
      <c r="B302" s="7">
        <v>3056000.7844790276</v>
      </c>
      <c r="C302">
        <f t="shared" si="4"/>
        <v>1</v>
      </c>
    </row>
    <row r="303" spans="1:3" x14ac:dyDescent="0.3">
      <c r="A303">
        <v>302</v>
      </c>
      <c r="B303" s="7">
        <v>8827057.4517331347</v>
      </c>
      <c r="C303">
        <f t="shared" si="4"/>
        <v>1</v>
      </c>
    </row>
    <row r="304" spans="1:3" x14ac:dyDescent="0.3">
      <c r="A304">
        <v>303</v>
      </c>
      <c r="B304" s="7">
        <v>12586153.844653886</v>
      </c>
      <c r="C304">
        <f t="shared" si="4"/>
        <v>1</v>
      </c>
    </row>
    <row r="305" spans="1:3" x14ac:dyDescent="0.3">
      <c r="A305">
        <v>304</v>
      </c>
      <c r="B305" s="7">
        <v>5837736.7328515425</v>
      </c>
      <c r="C305">
        <f t="shared" si="4"/>
        <v>1</v>
      </c>
    </row>
    <row r="306" spans="1:3" x14ac:dyDescent="0.3">
      <c r="A306">
        <v>305</v>
      </c>
      <c r="B306" s="7">
        <v>531681.60094255942</v>
      </c>
      <c r="C306">
        <f t="shared" si="4"/>
        <v>1</v>
      </c>
    </row>
    <row r="307" spans="1:3" x14ac:dyDescent="0.3">
      <c r="A307">
        <v>306</v>
      </c>
      <c r="B307" s="7">
        <v>17295543.01409138</v>
      </c>
      <c r="C307">
        <f t="shared" si="4"/>
        <v>1</v>
      </c>
    </row>
    <row r="308" spans="1:3" x14ac:dyDescent="0.3">
      <c r="A308">
        <v>307</v>
      </c>
      <c r="B308" s="7">
        <v>2369193.5729366145</v>
      </c>
      <c r="C308">
        <f t="shared" si="4"/>
        <v>1</v>
      </c>
    </row>
    <row r="309" spans="1:3" x14ac:dyDescent="0.3">
      <c r="A309">
        <v>308</v>
      </c>
      <c r="B309" s="7">
        <v>17600588.005161576</v>
      </c>
      <c r="C309">
        <f t="shared" si="4"/>
        <v>1</v>
      </c>
    </row>
    <row r="310" spans="1:3" x14ac:dyDescent="0.3">
      <c r="A310">
        <v>309</v>
      </c>
      <c r="B310" s="7">
        <v>10818947.5894795</v>
      </c>
      <c r="C310">
        <f t="shared" si="4"/>
        <v>1</v>
      </c>
    </row>
    <row r="311" spans="1:3" x14ac:dyDescent="0.3">
      <c r="A311">
        <v>310</v>
      </c>
      <c r="B311" s="7">
        <v>3380556.7819123748</v>
      </c>
      <c r="C311">
        <f t="shared" si="4"/>
        <v>1</v>
      </c>
    </row>
    <row r="312" spans="1:3" x14ac:dyDescent="0.3">
      <c r="A312">
        <v>311</v>
      </c>
      <c r="B312" s="7">
        <v>412117.04405320715</v>
      </c>
      <c r="C312">
        <f t="shared" si="4"/>
        <v>1</v>
      </c>
    </row>
    <row r="313" spans="1:3" x14ac:dyDescent="0.3">
      <c r="A313">
        <v>312</v>
      </c>
      <c r="B313" s="7">
        <v>12386202.657729117</v>
      </c>
      <c r="C313">
        <f t="shared" si="4"/>
        <v>1</v>
      </c>
    </row>
    <row r="314" spans="1:3" x14ac:dyDescent="0.3">
      <c r="A314">
        <v>313</v>
      </c>
      <c r="B314" s="7">
        <v>1799386.3659778093</v>
      </c>
      <c r="C314">
        <f t="shared" si="4"/>
        <v>1</v>
      </c>
    </row>
    <row r="315" spans="1:3" x14ac:dyDescent="0.3">
      <c r="A315">
        <v>314</v>
      </c>
      <c r="B315" s="7">
        <v>17861112.19148704</v>
      </c>
      <c r="C315">
        <f t="shared" si="4"/>
        <v>1</v>
      </c>
    </row>
    <row r="316" spans="1:3" x14ac:dyDescent="0.3">
      <c r="A316">
        <v>315</v>
      </c>
      <c r="B316" s="7">
        <v>8814466.3899491746</v>
      </c>
      <c r="C316">
        <f t="shared" si="4"/>
        <v>1</v>
      </c>
    </row>
    <row r="317" spans="1:3" x14ac:dyDescent="0.3">
      <c r="A317">
        <v>316</v>
      </c>
      <c r="B317" s="7">
        <v>12865948.519376302</v>
      </c>
      <c r="C317">
        <f t="shared" si="4"/>
        <v>1</v>
      </c>
    </row>
    <row r="318" spans="1:3" x14ac:dyDescent="0.3">
      <c r="A318">
        <v>317</v>
      </c>
      <c r="B318" s="7">
        <v>3337586.1731949407</v>
      </c>
      <c r="C318">
        <f t="shared" si="4"/>
        <v>1</v>
      </c>
    </row>
    <row r="319" spans="1:3" x14ac:dyDescent="0.3">
      <c r="A319">
        <v>318</v>
      </c>
      <c r="B319" s="7">
        <v>5908696.5173801277</v>
      </c>
      <c r="C319">
        <f t="shared" si="4"/>
        <v>1</v>
      </c>
    </row>
    <row r="320" spans="1:3" x14ac:dyDescent="0.3">
      <c r="A320">
        <v>319</v>
      </c>
      <c r="B320" s="7">
        <v>20420147.287535552</v>
      </c>
      <c r="C320">
        <f t="shared" si="4"/>
        <v>1</v>
      </c>
    </row>
    <row r="321" spans="1:3" x14ac:dyDescent="0.3">
      <c r="A321">
        <v>320</v>
      </c>
      <c r="B321" s="7">
        <v>3778817.0781349288</v>
      </c>
      <c r="C321">
        <f t="shared" si="4"/>
        <v>1</v>
      </c>
    </row>
    <row r="322" spans="1:3" x14ac:dyDescent="0.3">
      <c r="A322">
        <v>321</v>
      </c>
      <c r="B322" s="7">
        <v>1881928.3948559032</v>
      </c>
      <c r="C322">
        <f t="shared" si="4"/>
        <v>1</v>
      </c>
    </row>
    <row r="323" spans="1:3" x14ac:dyDescent="0.3">
      <c r="A323">
        <v>322</v>
      </c>
      <c r="B323" s="7">
        <v>4436713.9566475842</v>
      </c>
      <c r="C323">
        <f t="shared" ref="C323:C386" si="5">IF(B323=0,0,1)</f>
        <v>1</v>
      </c>
    </row>
    <row r="324" spans="1:3" x14ac:dyDescent="0.3">
      <c r="A324">
        <v>323</v>
      </c>
      <c r="B324" s="7">
        <v>4087725.9439157806</v>
      </c>
      <c r="C324">
        <f t="shared" si="5"/>
        <v>1</v>
      </c>
    </row>
    <row r="325" spans="1:3" x14ac:dyDescent="0.3">
      <c r="A325">
        <v>324</v>
      </c>
      <c r="B325" s="7">
        <v>3686561.0097994711</v>
      </c>
      <c r="C325">
        <f t="shared" si="5"/>
        <v>1</v>
      </c>
    </row>
    <row r="326" spans="1:3" x14ac:dyDescent="0.3">
      <c r="A326">
        <v>325</v>
      </c>
      <c r="B326" s="7">
        <v>1414065.7516250387</v>
      </c>
      <c r="C326">
        <f t="shared" si="5"/>
        <v>1</v>
      </c>
    </row>
    <row r="327" spans="1:3" x14ac:dyDescent="0.3">
      <c r="A327">
        <v>326</v>
      </c>
      <c r="B327" s="7">
        <v>12988614.379645016</v>
      </c>
      <c r="C327">
        <f t="shared" si="5"/>
        <v>1</v>
      </c>
    </row>
    <row r="328" spans="1:3" x14ac:dyDescent="0.3">
      <c r="A328">
        <v>327</v>
      </c>
      <c r="B328" s="7">
        <v>4273281.8078819197</v>
      </c>
      <c r="C328">
        <f t="shared" si="5"/>
        <v>1</v>
      </c>
    </row>
    <row r="329" spans="1:3" x14ac:dyDescent="0.3">
      <c r="A329">
        <v>328</v>
      </c>
      <c r="B329" s="7">
        <v>2995355.1596499011</v>
      </c>
      <c r="C329">
        <f t="shared" si="5"/>
        <v>1</v>
      </c>
    </row>
    <row r="330" spans="1:3" x14ac:dyDescent="0.3">
      <c r="A330">
        <v>329</v>
      </c>
      <c r="B330" s="7">
        <v>3486380.7960519083</v>
      </c>
      <c r="C330">
        <f t="shared" si="5"/>
        <v>1</v>
      </c>
    </row>
    <row r="331" spans="1:3" x14ac:dyDescent="0.3">
      <c r="A331">
        <v>330</v>
      </c>
      <c r="B331" s="7">
        <v>5264668.5232907152</v>
      </c>
      <c r="C331">
        <f t="shared" si="5"/>
        <v>1</v>
      </c>
    </row>
    <row r="332" spans="1:3" x14ac:dyDescent="0.3">
      <c r="A332">
        <v>331</v>
      </c>
      <c r="B332" s="7">
        <v>140731.51898732054</v>
      </c>
      <c r="C332">
        <f t="shared" si="5"/>
        <v>1</v>
      </c>
    </row>
    <row r="333" spans="1:3" x14ac:dyDescent="0.3">
      <c r="A333">
        <v>332</v>
      </c>
      <c r="B333" s="7">
        <v>4807700.9842826091</v>
      </c>
      <c r="C333">
        <f t="shared" si="5"/>
        <v>1</v>
      </c>
    </row>
    <row r="334" spans="1:3" x14ac:dyDescent="0.3">
      <c r="A334">
        <v>333</v>
      </c>
      <c r="B334" s="7">
        <v>7888919.9130085688</v>
      </c>
      <c r="C334">
        <f t="shared" si="5"/>
        <v>1</v>
      </c>
    </row>
    <row r="335" spans="1:3" x14ac:dyDescent="0.3">
      <c r="A335">
        <v>334</v>
      </c>
      <c r="B335" s="7">
        <v>14110378.00542343</v>
      </c>
      <c r="C335">
        <f t="shared" si="5"/>
        <v>1</v>
      </c>
    </row>
    <row r="336" spans="1:3" x14ac:dyDescent="0.3">
      <c r="A336">
        <v>335</v>
      </c>
      <c r="B336" s="7">
        <v>4857451.9687628793</v>
      </c>
      <c r="C336">
        <f t="shared" si="5"/>
        <v>1</v>
      </c>
    </row>
    <row r="337" spans="1:3" x14ac:dyDescent="0.3">
      <c r="A337">
        <v>336</v>
      </c>
      <c r="B337" s="7">
        <v>1766657.7838959917</v>
      </c>
      <c r="C337">
        <f t="shared" si="5"/>
        <v>1</v>
      </c>
    </row>
    <row r="338" spans="1:3" x14ac:dyDescent="0.3">
      <c r="A338">
        <v>337</v>
      </c>
      <c r="B338" s="7">
        <v>1210004.1467276788</v>
      </c>
      <c r="C338">
        <f t="shared" si="5"/>
        <v>1</v>
      </c>
    </row>
    <row r="339" spans="1:3" x14ac:dyDescent="0.3">
      <c r="A339">
        <v>338</v>
      </c>
      <c r="B339" s="7">
        <v>20669590.062684789</v>
      </c>
      <c r="C339">
        <f t="shared" si="5"/>
        <v>1</v>
      </c>
    </row>
    <row r="340" spans="1:3" x14ac:dyDescent="0.3">
      <c r="A340">
        <v>339</v>
      </c>
      <c r="B340" s="7">
        <v>5451723.201294167</v>
      </c>
      <c r="C340">
        <f t="shared" si="5"/>
        <v>1</v>
      </c>
    </row>
    <row r="341" spans="1:3" x14ac:dyDescent="0.3">
      <c r="A341">
        <v>340</v>
      </c>
      <c r="B341" s="7">
        <v>8017759.0742499139</v>
      </c>
      <c r="C341">
        <f t="shared" si="5"/>
        <v>1</v>
      </c>
    </row>
    <row r="342" spans="1:3" x14ac:dyDescent="0.3">
      <c r="A342">
        <v>341</v>
      </c>
      <c r="B342" s="7">
        <v>5079771.5974838072</v>
      </c>
      <c r="C342">
        <f t="shared" si="5"/>
        <v>1</v>
      </c>
    </row>
    <row r="343" spans="1:3" x14ac:dyDescent="0.3">
      <c r="A343">
        <v>342</v>
      </c>
      <c r="B343" s="7">
        <v>17298283.405156072</v>
      </c>
      <c r="C343">
        <f t="shared" si="5"/>
        <v>1</v>
      </c>
    </row>
    <row r="344" spans="1:3" x14ac:dyDescent="0.3">
      <c r="A344">
        <v>343</v>
      </c>
      <c r="B344" s="7">
        <v>6834075.5532113761</v>
      </c>
      <c r="C344">
        <f t="shared" si="5"/>
        <v>1</v>
      </c>
    </row>
    <row r="345" spans="1:3" x14ac:dyDescent="0.3">
      <c r="A345">
        <v>344</v>
      </c>
      <c r="B345" s="7">
        <v>8112402.3017132087</v>
      </c>
      <c r="C345">
        <f t="shared" si="5"/>
        <v>1</v>
      </c>
    </row>
    <row r="346" spans="1:3" x14ac:dyDescent="0.3">
      <c r="A346">
        <v>345</v>
      </c>
      <c r="B346" s="7">
        <v>8667919.1369625479</v>
      </c>
      <c r="C346">
        <f t="shared" si="5"/>
        <v>1</v>
      </c>
    </row>
    <row r="347" spans="1:3" x14ac:dyDescent="0.3">
      <c r="A347">
        <v>346</v>
      </c>
      <c r="B347" s="7">
        <v>4784335.0309970332</v>
      </c>
      <c r="C347">
        <f t="shared" si="5"/>
        <v>1</v>
      </c>
    </row>
    <row r="348" spans="1:3" x14ac:dyDescent="0.3">
      <c r="A348">
        <v>347</v>
      </c>
      <c r="B348" s="7">
        <v>5882208.9985439042</v>
      </c>
      <c r="C348">
        <f t="shared" si="5"/>
        <v>1</v>
      </c>
    </row>
    <row r="349" spans="1:3" x14ac:dyDescent="0.3">
      <c r="A349">
        <v>348</v>
      </c>
      <c r="B349" s="7">
        <v>3781544.9908197164</v>
      </c>
      <c r="C349">
        <f t="shared" si="5"/>
        <v>1</v>
      </c>
    </row>
    <row r="350" spans="1:3" x14ac:dyDescent="0.3">
      <c r="A350">
        <v>349</v>
      </c>
      <c r="B350" s="7">
        <v>3081624.9851778476</v>
      </c>
      <c r="C350">
        <f t="shared" si="5"/>
        <v>1</v>
      </c>
    </row>
    <row r="351" spans="1:3" x14ac:dyDescent="0.3">
      <c r="A351">
        <v>350</v>
      </c>
      <c r="B351" s="7">
        <v>5354987.9011091851</v>
      </c>
      <c r="C351">
        <f t="shared" si="5"/>
        <v>1</v>
      </c>
    </row>
    <row r="352" spans="1:3" x14ac:dyDescent="0.3">
      <c r="A352">
        <v>351</v>
      </c>
      <c r="B352" s="7">
        <v>746673.30361279612</v>
      </c>
      <c r="C352">
        <f t="shared" si="5"/>
        <v>1</v>
      </c>
    </row>
    <row r="353" spans="1:3" x14ac:dyDescent="0.3">
      <c r="A353">
        <v>352</v>
      </c>
      <c r="B353" s="7">
        <v>1242863.6636776524</v>
      </c>
      <c r="C353">
        <f t="shared" si="5"/>
        <v>1</v>
      </c>
    </row>
    <row r="354" spans="1:3" x14ac:dyDescent="0.3">
      <c r="A354">
        <v>353</v>
      </c>
      <c r="B354" s="7">
        <v>4773965.2207822474</v>
      </c>
      <c r="C354">
        <f t="shared" si="5"/>
        <v>1</v>
      </c>
    </row>
    <row r="355" spans="1:3" x14ac:dyDescent="0.3">
      <c r="A355">
        <v>354</v>
      </c>
      <c r="B355" s="7">
        <v>901478.12433286849</v>
      </c>
      <c r="C355">
        <f t="shared" si="5"/>
        <v>1</v>
      </c>
    </row>
    <row r="356" spans="1:3" x14ac:dyDescent="0.3">
      <c r="A356">
        <v>355</v>
      </c>
      <c r="B356" s="7">
        <v>4083513.3006109376</v>
      </c>
      <c r="C356">
        <f t="shared" si="5"/>
        <v>1</v>
      </c>
    </row>
    <row r="357" spans="1:3" x14ac:dyDescent="0.3">
      <c r="A357">
        <v>356</v>
      </c>
      <c r="B357" s="7">
        <v>9341309.999724647</v>
      </c>
      <c r="C357">
        <f t="shared" si="5"/>
        <v>1</v>
      </c>
    </row>
    <row r="358" spans="1:3" x14ac:dyDescent="0.3">
      <c r="A358">
        <v>357</v>
      </c>
      <c r="B358" s="7">
        <v>4439278.1413376406</v>
      </c>
      <c r="C358">
        <f t="shared" si="5"/>
        <v>1</v>
      </c>
    </row>
    <row r="359" spans="1:3" x14ac:dyDescent="0.3">
      <c r="A359">
        <v>358</v>
      </c>
      <c r="B359" s="7">
        <v>8302672.3259185199</v>
      </c>
      <c r="C359">
        <f t="shared" si="5"/>
        <v>1</v>
      </c>
    </row>
    <row r="360" spans="1:3" x14ac:dyDescent="0.3">
      <c r="A360">
        <v>359</v>
      </c>
      <c r="B360" s="7">
        <v>7828516.9639757359</v>
      </c>
      <c r="C360">
        <f t="shared" si="5"/>
        <v>1</v>
      </c>
    </row>
    <row r="361" spans="1:3" x14ac:dyDescent="0.3">
      <c r="A361">
        <v>360</v>
      </c>
      <c r="B361" s="7">
        <v>1557013.8846290254</v>
      </c>
      <c r="C361">
        <f t="shared" si="5"/>
        <v>1</v>
      </c>
    </row>
    <row r="362" spans="1:3" x14ac:dyDescent="0.3">
      <c r="A362">
        <v>361</v>
      </c>
      <c r="B362" s="7">
        <v>3769573.4257480418</v>
      </c>
      <c r="C362">
        <f t="shared" si="5"/>
        <v>1</v>
      </c>
    </row>
    <row r="363" spans="1:3" x14ac:dyDescent="0.3">
      <c r="A363">
        <v>362</v>
      </c>
      <c r="B363" s="7">
        <v>4281972.4817964034</v>
      </c>
      <c r="C363">
        <f t="shared" si="5"/>
        <v>1</v>
      </c>
    </row>
    <row r="364" spans="1:3" x14ac:dyDescent="0.3">
      <c r="A364">
        <v>363</v>
      </c>
      <c r="B364" s="7">
        <v>4229357.8567754319</v>
      </c>
      <c r="C364">
        <f t="shared" si="5"/>
        <v>1</v>
      </c>
    </row>
    <row r="365" spans="1:3" x14ac:dyDescent="0.3">
      <c r="A365">
        <v>364</v>
      </c>
      <c r="B365" s="7">
        <v>1433934.7167561743</v>
      </c>
      <c r="C365">
        <f t="shared" si="5"/>
        <v>1</v>
      </c>
    </row>
    <row r="366" spans="1:3" x14ac:dyDescent="0.3">
      <c r="A366">
        <v>365</v>
      </c>
      <c r="B366" s="7">
        <v>1489459.6406452095</v>
      </c>
      <c r="C366">
        <f t="shared" si="5"/>
        <v>1</v>
      </c>
    </row>
    <row r="367" spans="1:3" x14ac:dyDescent="0.3">
      <c r="A367">
        <v>366</v>
      </c>
      <c r="B367" s="7">
        <v>7089582.5164351519</v>
      </c>
      <c r="C367">
        <f t="shared" si="5"/>
        <v>1</v>
      </c>
    </row>
    <row r="368" spans="1:3" x14ac:dyDescent="0.3">
      <c r="A368">
        <v>367</v>
      </c>
      <c r="B368" s="7">
        <v>3859426.0758723002</v>
      </c>
      <c r="C368">
        <f t="shared" si="5"/>
        <v>1</v>
      </c>
    </row>
    <row r="369" spans="1:3" x14ac:dyDescent="0.3">
      <c r="A369">
        <v>368</v>
      </c>
      <c r="B369" s="7">
        <v>1762377.131956324</v>
      </c>
      <c r="C369">
        <f t="shared" si="5"/>
        <v>1</v>
      </c>
    </row>
    <row r="370" spans="1:3" x14ac:dyDescent="0.3">
      <c r="A370">
        <v>369</v>
      </c>
      <c r="B370" s="7">
        <v>5368870.8428700278</v>
      </c>
      <c r="C370">
        <f t="shared" si="5"/>
        <v>1</v>
      </c>
    </row>
    <row r="371" spans="1:3" x14ac:dyDescent="0.3">
      <c r="A371">
        <v>370</v>
      </c>
      <c r="B371" s="7">
        <v>3698499.4416166614</v>
      </c>
      <c r="C371">
        <f t="shared" si="5"/>
        <v>1</v>
      </c>
    </row>
    <row r="372" spans="1:3" x14ac:dyDescent="0.3">
      <c r="A372">
        <v>371</v>
      </c>
      <c r="B372" s="7">
        <v>5739258.4908079542</v>
      </c>
      <c r="C372">
        <f t="shared" si="5"/>
        <v>1</v>
      </c>
    </row>
    <row r="373" spans="1:3" x14ac:dyDescent="0.3">
      <c r="A373">
        <v>372</v>
      </c>
      <c r="B373" s="7">
        <v>5645760.6517081466</v>
      </c>
      <c r="C373">
        <f t="shared" si="5"/>
        <v>1</v>
      </c>
    </row>
    <row r="374" spans="1:3" x14ac:dyDescent="0.3">
      <c r="A374">
        <v>373</v>
      </c>
      <c r="B374" s="7">
        <v>1002988.4203873876</v>
      </c>
      <c r="C374">
        <f t="shared" si="5"/>
        <v>1</v>
      </c>
    </row>
    <row r="375" spans="1:3" x14ac:dyDescent="0.3">
      <c r="A375">
        <v>374</v>
      </c>
      <c r="B375" s="7">
        <v>9231183.2679727934</v>
      </c>
      <c r="C375">
        <f t="shared" si="5"/>
        <v>1</v>
      </c>
    </row>
    <row r="376" spans="1:3" x14ac:dyDescent="0.3">
      <c r="A376">
        <v>375</v>
      </c>
      <c r="B376" s="7">
        <v>2758521.8018569872</v>
      </c>
      <c r="C376">
        <f t="shared" si="5"/>
        <v>1</v>
      </c>
    </row>
    <row r="377" spans="1:3" x14ac:dyDescent="0.3">
      <c r="A377">
        <v>376</v>
      </c>
      <c r="B377" s="7">
        <v>1605721.3772106594</v>
      </c>
      <c r="C377">
        <f t="shared" si="5"/>
        <v>1</v>
      </c>
    </row>
    <row r="378" spans="1:3" x14ac:dyDescent="0.3">
      <c r="A378">
        <v>377</v>
      </c>
      <c r="B378" s="7">
        <v>1192327.7051907638</v>
      </c>
      <c r="C378">
        <f t="shared" si="5"/>
        <v>1</v>
      </c>
    </row>
    <row r="379" spans="1:3" x14ac:dyDescent="0.3">
      <c r="A379">
        <v>378</v>
      </c>
      <c r="B379" s="7">
        <v>1173955.4130024663</v>
      </c>
      <c r="C379">
        <f t="shared" si="5"/>
        <v>1</v>
      </c>
    </row>
    <row r="380" spans="1:3" x14ac:dyDescent="0.3">
      <c r="A380">
        <v>379</v>
      </c>
      <c r="B380" s="7">
        <v>4007288.7831064765</v>
      </c>
      <c r="C380">
        <f t="shared" si="5"/>
        <v>1</v>
      </c>
    </row>
    <row r="381" spans="1:3" x14ac:dyDescent="0.3">
      <c r="A381">
        <v>380</v>
      </c>
      <c r="B381" s="7">
        <v>1380263.1503975545</v>
      </c>
      <c r="C381">
        <f t="shared" si="5"/>
        <v>1</v>
      </c>
    </row>
    <row r="382" spans="1:3" x14ac:dyDescent="0.3">
      <c r="A382">
        <v>381</v>
      </c>
      <c r="B382" s="7">
        <v>3547711.6220271904</v>
      </c>
      <c r="C382">
        <f t="shared" si="5"/>
        <v>1</v>
      </c>
    </row>
    <row r="383" spans="1:3" x14ac:dyDescent="0.3">
      <c r="A383">
        <v>382</v>
      </c>
      <c r="B383" s="7">
        <v>143377.94158984465</v>
      </c>
      <c r="C383">
        <f t="shared" si="5"/>
        <v>1</v>
      </c>
    </row>
    <row r="384" spans="1:3" x14ac:dyDescent="0.3">
      <c r="A384">
        <v>383</v>
      </c>
      <c r="B384" s="7">
        <v>4038902.3985935268</v>
      </c>
      <c r="C384">
        <f t="shared" si="5"/>
        <v>1</v>
      </c>
    </row>
    <row r="385" spans="1:3" x14ac:dyDescent="0.3">
      <c r="A385">
        <v>384</v>
      </c>
      <c r="B385" s="7">
        <v>10341402.580889631</v>
      </c>
      <c r="C385">
        <f t="shared" si="5"/>
        <v>1</v>
      </c>
    </row>
    <row r="386" spans="1:3" x14ac:dyDescent="0.3">
      <c r="A386">
        <v>385</v>
      </c>
      <c r="B386" s="7">
        <v>1185604.6936530133</v>
      </c>
      <c r="C386">
        <f t="shared" si="5"/>
        <v>1</v>
      </c>
    </row>
    <row r="387" spans="1:3" x14ac:dyDescent="0.3">
      <c r="A387">
        <v>386</v>
      </c>
      <c r="B387" s="7">
        <v>0</v>
      </c>
      <c r="C387">
        <f t="shared" ref="C387:C450" si="6">IF(B387=0,0,1)</f>
        <v>0</v>
      </c>
    </row>
    <row r="388" spans="1:3" x14ac:dyDescent="0.3">
      <c r="A388">
        <v>387</v>
      </c>
      <c r="B388" s="7">
        <v>1281082.2023098741</v>
      </c>
      <c r="C388">
        <f t="shared" si="6"/>
        <v>1</v>
      </c>
    </row>
    <row r="389" spans="1:3" x14ac:dyDescent="0.3">
      <c r="A389">
        <v>388</v>
      </c>
      <c r="B389" s="7">
        <v>5405799.2541245809</v>
      </c>
      <c r="C389">
        <f t="shared" si="6"/>
        <v>1</v>
      </c>
    </row>
    <row r="390" spans="1:3" x14ac:dyDescent="0.3">
      <c r="A390">
        <v>389</v>
      </c>
      <c r="B390" s="7">
        <v>5498655.7965692654</v>
      </c>
      <c r="C390">
        <f t="shared" si="6"/>
        <v>1</v>
      </c>
    </row>
    <row r="391" spans="1:3" x14ac:dyDescent="0.3">
      <c r="A391">
        <v>390</v>
      </c>
      <c r="B391" s="7">
        <v>471642.66922913317</v>
      </c>
      <c r="C391">
        <f t="shared" si="6"/>
        <v>1</v>
      </c>
    </row>
    <row r="392" spans="1:3" x14ac:dyDescent="0.3">
      <c r="A392">
        <v>391</v>
      </c>
      <c r="B392" s="7">
        <v>6092569.8327200264</v>
      </c>
      <c r="C392">
        <f t="shared" si="6"/>
        <v>1</v>
      </c>
    </row>
    <row r="393" spans="1:3" x14ac:dyDescent="0.3">
      <c r="A393">
        <v>392</v>
      </c>
      <c r="B393" s="7">
        <v>610817.66269334871</v>
      </c>
      <c r="C393">
        <f t="shared" si="6"/>
        <v>1</v>
      </c>
    </row>
    <row r="394" spans="1:3" x14ac:dyDescent="0.3">
      <c r="A394">
        <v>393</v>
      </c>
      <c r="B394" s="7">
        <v>9174225.2658690978</v>
      </c>
      <c r="C394">
        <f t="shared" si="6"/>
        <v>1</v>
      </c>
    </row>
    <row r="395" spans="1:3" x14ac:dyDescent="0.3">
      <c r="A395">
        <v>394</v>
      </c>
      <c r="B395" s="7">
        <v>7608637.7065362977</v>
      </c>
      <c r="C395">
        <f t="shared" si="6"/>
        <v>1</v>
      </c>
    </row>
    <row r="396" spans="1:3" x14ac:dyDescent="0.3">
      <c r="A396">
        <v>395</v>
      </c>
      <c r="B396" s="7">
        <v>7837070.2427222859</v>
      </c>
      <c r="C396">
        <f t="shared" si="6"/>
        <v>1</v>
      </c>
    </row>
    <row r="397" spans="1:3" x14ac:dyDescent="0.3">
      <c r="A397">
        <v>396</v>
      </c>
      <c r="B397" s="7">
        <v>1793162.4764323223</v>
      </c>
      <c r="C397">
        <f t="shared" si="6"/>
        <v>1</v>
      </c>
    </row>
    <row r="398" spans="1:3" x14ac:dyDescent="0.3">
      <c r="A398">
        <v>397</v>
      </c>
      <c r="B398" s="7">
        <v>7876822.6013472201</v>
      </c>
      <c r="C398">
        <f t="shared" si="6"/>
        <v>1</v>
      </c>
    </row>
    <row r="399" spans="1:3" x14ac:dyDescent="0.3">
      <c r="A399">
        <v>398</v>
      </c>
      <c r="B399" s="7">
        <v>15277456.650098821</v>
      </c>
      <c r="C399">
        <f t="shared" si="6"/>
        <v>1</v>
      </c>
    </row>
    <row r="400" spans="1:3" x14ac:dyDescent="0.3">
      <c r="A400">
        <v>399</v>
      </c>
      <c r="B400" s="7">
        <v>2016021.5963344767</v>
      </c>
      <c r="C400">
        <f t="shared" si="6"/>
        <v>1</v>
      </c>
    </row>
    <row r="401" spans="1:3" x14ac:dyDescent="0.3">
      <c r="A401">
        <v>400</v>
      </c>
      <c r="B401" s="7">
        <v>4883298.1630773665</v>
      </c>
      <c r="C401">
        <f t="shared" si="6"/>
        <v>1</v>
      </c>
    </row>
    <row r="402" spans="1:3" x14ac:dyDescent="0.3">
      <c r="A402">
        <v>401</v>
      </c>
      <c r="B402" s="7">
        <v>5946856.6671995874</v>
      </c>
      <c r="C402">
        <f t="shared" si="6"/>
        <v>1</v>
      </c>
    </row>
    <row r="403" spans="1:3" x14ac:dyDescent="0.3">
      <c r="A403">
        <v>402</v>
      </c>
      <c r="B403" s="7">
        <v>10302781.544108301</v>
      </c>
      <c r="C403">
        <f t="shared" si="6"/>
        <v>1</v>
      </c>
    </row>
    <row r="404" spans="1:3" x14ac:dyDescent="0.3">
      <c r="A404">
        <v>403</v>
      </c>
      <c r="B404" s="7">
        <v>1651402.2129798841</v>
      </c>
      <c r="C404">
        <f t="shared" si="6"/>
        <v>1</v>
      </c>
    </row>
    <row r="405" spans="1:3" x14ac:dyDescent="0.3">
      <c r="A405">
        <v>404</v>
      </c>
      <c r="B405" s="7">
        <v>513828.66500533035</v>
      </c>
      <c r="C405">
        <f t="shared" si="6"/>
        <v>1</v>
      </c>
    </row>
    <row r="406" spans="1:3" x14ac:dyDescent="0.3">
      <c r="A406">
        <v>405</v>
      </c>
      <c r="B406" s="7">
        <v>2027931.2166717742</v>
      </c>
      <c r="C406">
        <f t="shared" si="6"/>
        <v>1</v>
      </c>
    </row>
    <row r="407" spans="1:3" x14ac:dyDescent="0.3">
      <c r="A407">
        <v>406</v>
      </c>
      <c r="B407" s="7">
        <v>4827040.5761916181</v>
      </c>
      <c r="C407">
        <f t="shared" si="6"/>
        <v>1</v>
      </c>
    </row>
    <row r="408" spans="1:3" x14ac:dyDescent="0.3">
      <c r="A408">
        <v>407</v>
      </c>
      <c r="B408" s="7">
        <v>5356631.7722389</v>
      </c>
      <c r="C408">
        <f t="shared" si="6"/>
        <v>1</v>
      </c>
    </row>
    <row r="409" spans="1:3" x14ac:dyDescent="0.3">
      <c r="A409">
        <v>408</v>
      </c>
      <c r="B409" s="7">
        <v>2776586.1233863942</v>
      </c>
      <c r="C409">
        <f t="shared" si="6"/>
        <v>1</v>
      </c>
    </row>
    <row r="410" spans="1:3" x14ac:dyDescent="0.3">
      <c r="A410">
        <v>409</v>
      </c>
      <c r="B410" s="7">
        <v>8513143.5874347724</v>
      </c>
      <c r="C410">
        <f t="shared" si="6"/>
        <v>1</v>
      </c>
    </row>
    <row r="411" spans="1:3" x14ac:dyDescent="0.3">
      <c r="A411">
        <v>410</v>
      </c>
      <c r="B411" s="7">
        <v>17594058.620594148</v>
      </c>
      <c r="C411">
        <f t="shared" si="6"/>
        <v>1</v>
      </c>
    </row>
    <row r="412" spans="1:3" x14ac:dyDescent="0.3">
      <c r="A412">
        <v>411</v>
      </c>
      <c r="B412" s="7">
        <v>3978276.2370547093</v>
      </c>
      <c r="C412">
        <f t="shared" si="6"/>
        <v>1</v>
      </c>
    </row>
    <row r="413" spans="1:3" x14ac:dyDescent="0.3">
      <c r="A413">
        <v>412</v>
      </c>
      <c r="B413" s="7">
        <v>4972853.6448735874</v>
      </c>
      <c r="C413">
        <f t="shared" si="6"/>
        <v>1</v>
      </c>
    </row>
    <row r="414" spans="1:3" x14ac:dyDescent="0.3">
      <c r="A414">
        <v>413</v>
      </c>
      <c r="B414" s="7">
        <v>3471455.9474344715</v>
      </c>
      <c r="C414">
        <f t="shared" si="6"/>
        <v>1</v>
      </c>
    </row>
    <row r="415" spans="1:3" x14ac:dyDescent="0.3">
      <c r="A415">
        <v>414</v>
      </c>
      <c r="B415" s="7">
        <v>2080579.9887808766</v>
      </c>
      <c r="C415">
        <f t="shared" si="6"/>
        <v>1</v>
      </c>
    </row>
    <row r="416" spans="1:3" x14ac:dyDescent="0.3">
      <c r="A416">
        <v>415</v>
      </c>
      <c r="B416" s="7">
        <v>3216700.7669787318</v>
      </c>
      <c r="C416">
        <f t="shared" si="6"/>
        <v>1</v>
      </c>
    </row>
    <row r="417" spans="1:3" x14ac:dyDescent="0.3">
      <c r="A417">
        <v>416</v>
      </c>
      <c r="B417" s="7">
        <v>7797203.6694704155</v>
      </c>
      <c r="C417">
        <f t="shared" si="6"/>
        <v>1</v>
      </c>
    </row>
    <row r="418" spans="1:3" x14ac:dyDescent="0.3">
      <c r="A418">
        <v>417</v>
      </c>
      <c r="B418" s="7">
        <v>4796162.0274178162</v>
      </c>
      <c r="C418">
        <f t="shared" si="6"/>
        <v>1</v>
      </c>
    </row>
    <row r="419" spans="1:3" x14ac:dyDescent="0.3">
      <c r="A419">
        <v>418</v>
      </c>
      <c r="B419" s="7">
        <v>3880574.8159768637</v>
      </c>
      <c r="C419">
        <f t="shared" si="6"/>
        <v>1</v>
      </c>
    </row>
    <row r="420" spans="1:3" x14ac:dyDescent="0.3">
      <c r="A420">
        <v>419</v>
      </c>
      <c r="B420" s="7">
        <v>1305537.7578140208</v>
      </c>
      <c r="C420">
        <f t="shared" si="6"/>
        <v>1</v>
      </c>
    </row>
    <row r="421" spans="1:3" x14ac:dyDescent="0.3">
      <c r="A421">
        <v>420</v>
      </c>
      <c r="B421" s="7">
        <v>3607072.3629902056</v>
      </c>
      <c r="C421">
        <f t="shared" si="6"/>
        <v>1</v>
      </c>
    </row>
    <row r="422" spans="1:3" x14ac:dyDescent="0.3">
      <c r="A422">
        <v>421</v>
      </c>
      <c r="B422" s="7">
        <v>7224799.9391278997</v>
      </c>
      <c r="C422">
        <f t="shared" si="6"/>
        <v>1</v>
      </c>
    </row>
    <row r="423" spans="1:3" x14ac:dyDescent="0.3">
      <c r="A423">
        <v>422</v>
      </c>
      <c r="B423" s="7">
        <v>34479419.88582316</v>
      </c>
      <c r="C423">
        <f t="shared" si="6"/>
        <v>1</v>
      </c>
    </row>
    <row r="424" spans="1:3" x14ac:dyDescent="0.3">
      <c r="A424">
        <v>423</v>
      </c>
      <c r="B424" s="7">
        <v>6877897.2715708856</v>
      </c>
      <c r="C424">
        <f t="shared" si="6"/>
        <v>1</v>
      </c>
    </row>
    <row r="425" spans="1:3" x14ac:dyDescent="0.3">
      <c r="A425">
        <v>424</v>
      </c>
      <c r="B425" s="7">
        <v>3465427.4577712328</v>
      </c>
      <c r="C425">
        <f t="shared" si="6"/>
        <v>1</v>
      </c>
    </row>
    <row r="426" spans="1:3" x14ac:dyDescent="0.3">
      <c r="A426">
        <v>425</v>
      </c>
      <c r="B426" s="7">
        <v>17523202.33929006</v>
      </c>
      <c r="C426">
        <f t="shared" si="6"/>
        <v>1</v>
      </c>
    </row>
    <row r="427" spans="1:3" x14ac:dyDescent="0.3">
      <c r="A427">
        <v>426</v>
      </c>
      <c r="B427" s="7">
        <v>3822151.3406704143</v>
      </c>
      <c r="C427">
        <f t="shared" si="6"/>
        <v>1</v>
      </c>
    </row>
    <row r="428" spans="1:3" x14ac:dyDescent="0.3">
      <c r="A428">
        <v>427</v>
      </c>
      <c r="B428" s="7">
        <v>10106276.090021065</v>
      </c>
      <c r="C428">
        <f t="shared" si="6"/>
        <v>1</v>
      </c>
    </row>
    <row r="429" spans="1:3" x14ac:dyDescent="0.3">
      <c r="A429">
        <v>428</v>
      </c>
      <c r="B429" s="7">
        <v>2054519.709912637</v>
      </c>
      <c r="C429">
        <f t="shared" si="6"/>
        <v>1</v>
      </c>
    </row>
    <row r="430" spans="1:3" x14ac:dyDescent="0.3">
      <c r="A430">
        <v>429</v>
      </c>
      <c r="B430" s="7">
        <v>7910348.9622426378</v>
      </c>
      <c r="C430">
        <f t="shared" si="6"/>
        <v>1</v>
      </c>
    </row>
    <row r="431" spans="1:3" x14ac:dyDescent="0.3">
      <c r="A431">
        <v>430</v>
      </c>
      <c r="B431" s="7">
        <v>5027751.816971668</v>
      </c>
      <c r="C431">
        <f t="shared" si="6"/>
        <v>1</v>
      </c>
    </row>
    <row r="432" spans="1:3" x14ac:dyDescent="0.3">
      <c r="A432">
        <v>431</v>
      </c>
      <c r="B432" s="7">
        <v>9233603.8360880669</v>
      </c>
      <c r="C432">
        <f t="shared" si="6"/>
        <v>1</v>
      </c>
    </row>
    <row r="433" spans="1:3" x14ac:dyDescent="0.3">
      <c r="A433">
        <v>432</v>
      </c>
      <c r="B433" s="7">
        <v>13435638.639189718</v>
      </c>
      <c r="C433">
        <f t="shared" si="6"/>
        <v>1</v>
      </c>
    </row>
    <row r="434" spans="1:3" x14ac:dyDescent="0.3">
      <c r="A434">
        <v>433</v>
      </c>
      <c r="B434" s="7">
        <v>4837623.9473890578</v>
      </c>
      <c r="C434">
        <f t="shared" si="6"/>
        <v>1</v>
      </c>
    </row>
    <row r="435" spans="1:3" x14ac:dyDescent="0.3">
      <c r="A435">
        <v>434</v>
      </c>
      <c r="B435" s="7">
        <v>9036228.5314349718</v>
      </c>
      <c r="C435">
        <f t="shared" si="6"/>
        <v>1</v>
      </c>
    </row>
    <row r="436" spans="1:3" x14ac:dyDescent="0.3">
      <c r="A436">
        <v>435</v>
      </c>
      <c r="B436" s="7">
        <v>10052159.050478416</v>
      </c>
      <c r="C436">
        <f t="shared" si="6"/>
        <v>1</v>
      </c>
    </row>
    <row r="437" spans="1:3" x14ac:dyDescent="0.3">
      <c r="A437">
        <v>436</v>
      </c>
      <c r="B437" s="7">
        <v>849699.519540729</v>
      </c>
      <c r="C437">
        <f t="shared" si="6"/>
        <v>1</v>
      </c>
    </row>
    <row r="438" spans="1:3" x14ac:dyDescent="0.3">
      <c r="A438">
        <v>437</v>
      </c>
      <c r="B438" s="7">
        <v>451643.47005479108</v>
      </c>
      <c r="C438">
        <f t="shared" si="6"/>
        <v>1</v>
      </c>
    </row>
    <row r="439" spans="1:3" x14ac:dyDescent="0.3">
      <c r="A439">
        <v>438</v>
      </c>
      <c r="B439" s="7">
        <v>7303850.7847485924</v>
      </c>
      <c r="C439">
        <f t="shared" si="6"/>
        <v>1</v>
      </c>
    </row>
    <row r="440" spans="1:3" x14ac:dyDescent="0.3">
      <c r="A440">
        <v>439</v>
      </c>
      <c r="B440" s="7">
        <v>7944867.9231617749</v>
      </c>
      <c r="C440">
        <f t="shared" si="6"/>
        <v>1</v>
      </c>
    </row>
    <row r="441" spans="1:3" x14ac:dyDescent="0.3">
      <c r="A441">
        <v>440</v>
      </c>
      <c r="B441" s="7">
        <v>1483131.6327332512</v>
      </c>
      <c r="C441">
        <f t="shared" si="6"/>
        <v>1</v>
      </c>
    </row>
    <row r="442" spans="1:3" x14ac:dyDescent="0.3">
      <c r="A442">
        <v>441</v>
      </c>
      <c r="B442" s="7">
        <v>512782.45966807794</v>
      </c>
      <c r="C442">
        <f t="shared" si="6"/>
        <v>1</v>
      </c>
    </row>
    <row r="443" spans="1:3" x14ac:dyDescent="0.3">
      <c r="A443">
        <v>442</v>
      </c>
      <c r="B443" s="7">
        <v>9138572.8263143245</v>
      </c>
      <c r="C443">
        <f t="shared" si="6"/>
        <v>1</v>
      </c>
    </row>
    <row r="444" spans="1:3" x14ac:dyDescent="0.3">
      <c r="A444">
        <v>443</v>
      </c>
      <c r="B444" s="7">
        <v>10908647.857227253</v>
      </c>
      <c r="C444">
        <f t="shared" si="6"/>
        <v>1</v>
      </c>
    </row>
    <row r="445" spans="1:3" x14ac:dyDescent="0.3">
      <c r="A445">
        <v>444</v>
      </c>
      <c r="B445" s="7">
        <v>945227.4914853652</v>
      </c>
      <c r="C445">
        <f t="shared" si="6"/>
        <v>1</v>
      </c>
    </row>
    <row r="446" spans="1:3" x14ac:dyDescent="0.3">
      <c r="A446">
        <v>445</v>
      </c>
      <c r="B446" s="7">
        <v>5589128.9915771512</v>
      </c>
      <c r="C446">
        <f t="shared" si="6"/>
        <v>1</v>
      </c>
    </row>
    <row r="447" spans="1:3" x14ac:dyDescent="0.3">
      <c r="A447">
        <v>446</v>
      </c>
      <c r="B447" s="7">
        <v>7382362.2510215323</v>
      </c>
      <c r="C447">
        <f t="shared" si="6"/>
        <v>1</v>
      </c>
    </row>
    <row r="448" spans="1:3" x14ac:dyDescent="0.3">
      <c r="A448">
        <v>447</v>
      </c>
      <c r="B448" s="7">
        <v>12251075.563669797</v>
      </c>
      <c r="C448">
        <f t="shared" si="6"/>
        <v>1</v>
      </c>
    </row>
    <row r="449" spans="1:3" x14ac:dyDescent="0.3">
      <c r="A449">
        <v>448</v>
      </c>
      <c r="B449" s="7">
        <v>6837720.7779362304</v>
      </c>
      <c r="C449">
        <f t="shared" si="6"/>
        <v>1</v>
      </c>
    </row>
    <row r="450" spans="1:3" x14ac:dyDescent="0.3">
      <c r="A450">
        <v>449</v>
      </c>
      <c r="B450" s="7">
        <v>401481.47395364504</v>
      </c>
      <c r="C450">
        <f t="shared" si="6"/>
        <v>1</v>
      </c>
    </row>
    <row r="451" spans="1:3" x14ac:dyDescent="0.3">
      <c r="A451">
        <v>450</v>
      </c>
      <c r="B451" s="7">
        <v>2033131.2258095895</v>
      </c>
      <c r="C451">
        <f t="shared" ref="C451:C514" si="7">IF(B451=0,0,1)</f>
        <v>1</v>
      </c>
    </row>
    <row r="452" spans="1:3" x14ac:dyDescent="0.3">
      <c r="A452">
        <v>451</v>
      </c>
      <c r="B452" s="7">
        <v>48371684.41083084</v>
      </c>
      <c r="C452">
        <f t="shared" si="7"/>
        <v>1</v>
      </c>
    </row>
    <row r="453" spans="1:3" x14ac:dyDescent="0.3">
      <c r="A453">
        <v>452</v>
      </c>
      <c r="B453" s="7">
        <v>1078542.7331098171</v>
      </c>
      <c r="C453">
        <f t="shared" si="7"/>
        <v>1</v>
      </c>
    </row>
    <row r="454" spans="1:3" x14ac:dyDescent="0.3">
      <c r="A454">
        <v>453</v>
      </c>
      <c r="B454" s="7">
        <v>1693415.9166112542</v>
      </c>
      <c r="C454">
        <f t="shared" si="7"/>
        <v>1</v>
      </c>
    </row>
    <row r="455" spans="1:3" x14ac:dyDescent="0.3">
      <c r="A455">
        <v>454</v>
      </c>
      <c r="B455" s="7">
        <v>3388560.4979174281</v>
      </c>
      <c r="C455">
        <f t="shared" si="7"/>
        <v>1</v>
      </c>
    </row>
    <row r="456" spans="1:3" x14ac:dyDescent="0.3">
      <c r="A456">
        <v>455</v>
      </c>
      <c r="B456" s="7">
        <v>1331483.7358125458</v>
      </c>
      <c r="C456">
        <f t="shared" si="7"/>
        <v>1</v>
      </c>
    </row>
    <row r="457" spans="1:3" x14ac:dyDescent="0.3">
      <c r="A457">
        <v>456</v>
      </c>
      <c r="B457" s="7">
        <v>3310117.0233935025</v>
      </c>
      <c r="C457">
        <f t="shared" si="7"/>
        <v>1</v>
      </c>
    </row>
    <row r="458" spans="1:3" x14ac:dyDescent="0.3">
      <c r="A458">
        <v>457</v>
      </c>
      <c r="B458" s="7">
        <v>2797435.5007924563</v>
      </c>
      <c r="C458">
        <f t="shared" si="7"/>
        <v>1</v>
      </c>
    </row>
    <row r="459" spans="1:3" x14ac:dyDescent="0.3">
      <c r="A459">
        <v>458</v>
      </c>
      <c r="B459" s="7">
        <v>10608296.543883162</v>
      </c>
      <c r="C459">
        <f t="shared" si="7"/>
        <v>1</v>
      </c>
    </row>
    <row r="460" spans="1:3" x14ac:dyDescent="0.3">
      <c r="A460">
        <v>459</v>
      </c>
      <c r="B460" s="7">
        <v>2599957.4944090233</v>
      </c>
      <c r="C460">
        <f t="shared" si="7"/>
        <v>1</v>
      </c>
    </row>
    <row r="461" spans="1:3" x14ac:dyDescent="0.3">
      <c r="A461">
        <v>460</v>
      </c>
      <c r="B461" s="7">
        <v>13597829.495920664</v>
      </c>
      <c r="C461">
        <f t="shared" si="7"/>
        <v>1</v>
      </c>
    </row>
    <row r="462" spans="1:3" x14ac:dyDescent="0.3">
      <c r="A462">
        <v>461</v>
      </c>
      <c r="B462" s="7">
        <v>12031268.445764828</v>
      </c>
      <c r="C462">
        <f t="shared" si="7"/>
        <v>1</v>
      </c>
    </row>
    <row r="463" spans="1:3" x14ac:dyDescent="0.3">
      <c r="A463">
        <v>462</v>
      </c>
      <c r="B463" s="7">
        <v>3581819.3270825986</v>
      </c>
      <c r="C463">
        <f t="shared" si="7"/>
        <v>1</v>
      </c>
    </row>
    <row r="464" spans="1:3" x14ac:dyDescent="0.3">
      <c r="A464">
        <v>463</v>
      </c>
      <c r="B464" s="7">
        <v>15820997.811736494</v>
      </c>
      <c r="C464">
        <f t="shared" si="7"/>
        <v>1</v>
      </c>
    </row>
    <row r="465" spans="1:3" x14ac:dyDescent="0.3">
      <c r="A465">
        <v>464</v>
      </c>
      <c r="B465" s="7">
        <v>3774586.6874821335</v>
      </c>
      <c r="C465">
        <f t="shared" si="7"/>
        <v>1</v>
      </c>
    </row>
    <row r="466" spans="1:3" x14ac:dyDescent="0.3">
      <c r="A466">
        <v>465</v>
      </c>
      <c r="B466" s="7">
        <v>2212422.7405460803</v>
      </c>
      <c r="C466">
        <f t="shared" si="7"/>
        <v>1</v>
      </c>
    </row>
    <row r="467" spans="1:3" x14ac:dyDescent="0.3">
      <c r="A467">
        <v>466</v>
      </c>
      <c r="B467" s="7">
        <v>886347.33869788295</v>
      </c>
      <c r="C467">
        <f t="shared" si="7"/>
        <v>1</v>
      </c>
    </row>
    <row r="468" spans="1:3" x14ac:dyDescent="0.3">
      <c r="A468">
        <v>467</v>
      </c>
      <c r="B468" s="7">
        <v>6262469.2049434781</v>
      </c>
      <c r="C468">
        <f t="shared" si="7"/>
        <v>1</v>
      </c>
    </row>
    <row r="469" spans="1:3" x14ac:dyDescent="0.3">
      <c r="A469">
        <v>468</v>
      </c>
      <c r="B469" s="7">
        <v>2767104.3783762762</v>
      </c>
      <c r="C469">
        <f t="shared" si="7"/>
        <v>1</v>
      </c>
    </row>
    <row r="470" spans="1:3" x14ac:dyDescent="0.3">
      <c r="A470">
        <v>469</v>
      </c>
      <c r="B470" s="7">
        <v>12078971.974765159</v>
      </c>
      <c r="C470">
        <f t="shared" si="7"/>
        <v>1</v>
      </c>
    </row>
    <row r="471" spans="1:3" x14ac:dyDescent="0.3">
      <c r="A471">
        <v>470</v>
      </c>
      <c r="B471" s="7">
        <v>4153344.3279873729</v>
      </c>
      <c r="C471">
        <f t="shared" si="7"/>
        <v>1</v>
      </c>
    </row>
    <row r="472" spans="1:3" x14ac:dyDescent="0.3">
      <c r="A472">
        <v>471</v>
      </c>
      <c r="B472" s="7">
        <v>2921369.6994253192</v>
      </c>
      <c r="C472">
        <f t="shared" si="7"/>
        <v>1</v>
      </c>
    </row>
    <row r="473" spans="1:3" x14ac:dyDescent="0.3">
      <c r="A473">
        <v>472</v>
      </c>
      <c r="B473" s="7">
        <v>1632262.757225858</v>
      </c>
      <c r="C473">
        <f t="shared" si="7"/>
        <v>1</v>
      </c>
    </row>
    <row r="474" spans="1:3" x14ac:dyDescent="0.3">
      <c r="A474">
        <v>473</v>
      </c>
      <c r="B474" s="7">
        <v>3150140.0101425597</v>
      </c>
      <c r="C474">
        <f t="shared" si="7"/>
        <v>1</v>
      </c>
    </row>
    <row r="475" spans="1:3" x14ac:dyDescent="0.3">
      <c r="A475">
        <v>474</v>
      </c>
      <c r="B475" s="7">
        <v>2470294.9545670045</v>
      </c>
      <c r="C475">
        <f t="shared" si="7"/>
        <v>1</v>
      </c>
    </row>
    <row r="476" spans="1:3" x14ac:dyDescent="0.3">
      <c r="A476">
        <v>475</v>
      </c>
      <c r="B476" s="7">
        <v>2757120.8392713647</v>
      </c>
      <c r="C476">
        <f t="shared" si="7"/>
        <v>1</v>
      </c>
    </row>
    <row r="477" spans="1:3" x14ac:dyDescent="0.3">
      <c r="A477">
        <v>476</v>
      </c>
      <c r="B477" s="7">
        <v>8322099.8315850645</v>
      </c>
      <c r="C477">
        <f t="shared" si="7"/>
        <v>1</v>
      </c>
    </row>
    <row r="478" spans="1:3" x14ac:dyDescent="0.3">
      <c r="A478">
        <v>477</v>
      </c>
      <c r="B478" s="7">
        <v>0</v>
      </c>
      <c r="C478">
        <f t="shared" si="7"/>
        <v>0</v>
      </c>
    </row>
    <row r="479" spans="1:3" x14ac:dyDescent="0.3">
      <c r="A479">
        <v>478</v>
      </c>
      <c r="B479" s="7">
        <v>6159570.0329145789</v>
      </c>
      <c r="C479">
        <f t="shared" si="7"/>
        <v>1</v>
      </c>
    </row>
    <row r="480" spans="1:3" x14ac:dyDescent="0.3">
      <c r="A480">
        <v>479</v>
      </c>
      <c r="B480" s="7">
        <v>9453064.0327335894</v>
      </c>
      <c r="C480">
        <f t="shared" si="7"/>
        <v>1</v>
      </c>
    </row>
    <row r="481" spans="1:3" x14ac:dyDescent="0.3">
      <c r="A481">
        <v>480</v>
      </c>
      <c r="B481" s="7">
        <v>12523685.920359058</v>
      </c>
      <c r="C481">
        <f t="shared" si="7"/>
        <v>1</v>
      </c>
    </row>
    <row r="482" spans="1:3" x14ac:dyDescent="0.3">
      <c r="A482">
        <v>481</v>
      </c>
      <c r="B482" s="7">
        <v>9071571.8764417842</v>
      </c>
      <c r="C482">
        <f t="shared" si="7"/>
        <v>1</v>
      </c>
    </row>
    <row r="483" spans="1:3" x14ac:dyDescent="0.3">
      <c r="A483">
        <v>482</v>
      </c>
      <c r="B483" s="7">
        <v>19090067.894913692</v>
      </c>
      <c r="C483">
        <f t="shared" si="7"/>
        <v>1</v>
      </c>
    </row>
    <row r="484" spans="1:3" x14ac:dyDescent="0.3">
      <c r="A484">
        <v>483</v>
      </c>
      <c r="B484" s="7">
        <v>6210582.85079356</v>
      </c>
      <c r="C484">
        <f t="shared" si="7"/>
        <v>1</v>
      </c>
    </row>
    <row r="485" spans="1:3" x14ac:dyDescent="0.3">
      <c r="A485">
        <v>484</v>
      </c>
      <c r="B485" s="7">
        <v>1257739.9860330024</v>
      </c>
      <c r="C485">
        <f t="shared" si="7"/>
        <v>1</v>
      </c>
    </row>
    <row r="486" spans="1:3" x14ac:dyDescent="0.3">
      <c r="A486">
        <v>485</v>
      </c>
      <c r="B486" s="7">
        <v>896711.02825764229</v>
      </c>
      <c r="C486">
        <f t="shared" si="7"/>
        <v>1</v>
      </c>
    </row>
    <row r="487" spans="1:3" x14ac:dyDescent="0.3">
      <c r="A487">
        <v>486</v>
      </c>
      <c r="B487" s="7">
        <v>13817560.210143045</v>
      </c>
      <c r="C487">
        <f t="shared" si="7"/>
        <v>1</v>
      </c>
    </row>
    <row r="488" spans="1:3" x14ac:dyDescent="0.3">
      <c r="A488">
        <v>487</v>
      </c>
      <c r="B488" s="7">
        <v>5017971.2294849288</v>
      </c>
      <c r="C488">
        <f t="shared" si="7"/>
        <v>1</v>
      </c>
    </row>
    <row r="489" spans="1:3" x14ac:dyDescent="0.3">
      <c r="A489">
        <v>488</v>
      </c>
      <c r="B489" s="7">
        <v>5321386.0930955652</v>
      </c>
      <c r="C489">
        <f t="shared" si="7"/>
        <v>1</v>
      </c>
    </row>
    <row r="490" spans="1:3" x14ac:dyDescent="0.3">
      <c r="A490">
        <v>489</v>
      </c>
      <c r="B490" s="7">
        <v>13971389.677473279</v>
      </c>
      <c r="C490">
        <f t="shared" si="7"/>
        <v>1</v>
      </c>
    </row>
    <row r="491" spans="1:3" x14ac:dyDescent="0.3">
      <c r="A491">
        <v>490</v>
      </c>
      <c r="B491" s="7">
        <v>5730720.0674381908</v>
      </c>
      <c r="C491">
        <f t="shared" si="7"/>
        <v>1</v>
      </c>
    </row>
    <row r="492" spans="1:3" x14ac:dyDescent="0.3">
      <c r="A492">
        <v>491</v>
      </c>
      <c r="B492" s="7">
        <v>7989280.6728384122</v>
      </c>
      <c r="C492">
        <f t="shared" si="7"/>
        <v>1</v>
      </c>
    </row>
    <row r="493" spans="1:3" x14ac:dyDescent="0.3">
      <c r="A493">
        <v>492</v>
      </c>
      <c r="B493" s="7">
        <v>6064075.9808286978</v>
      </c>
      <c r="C493">
        <f t="shared" si="7"/>
        <v>1</v>
      </c>
    </row>
    <row r="494" spans="1:3" x14ac:dyDescent="0.3">
      <c r="A494">
        <v>493</v>
      </c>
      <c r="B494" s="7">
        <v>950004.34620351053</v>
      </c>
      <c r="C494">
        <f t="shared" si="7"/>
        <v>1</v>
      </c>
    </row>
    <row r="495" spans="1:3" x14ac:dyDescent="0.3">
      <c r="A495">
        <v>494</v>
      </c>
      <c r="B495" s="7">
        <v>2717730.6691721841</v>
      </c>
      <c r="C495">
        <f t="shared" si="7"/>
        <v>1</v>
      </c>
    </row>
    <row r="496" spans="1:3" x14ac:dyDescent="0.3">
      <c r="A496">
        <v>495</v>
      </c>
      <c r="B496" s="7">
        <v>9814545.9991935268</v>
      </c>
      <c r="C496">
        <f t="shared" si="7"/>
        <v>1</v>
      </c>
    </row>
    <row r="497" spans="1:3" x14ac:dyDescent="0.3">
      <c r="A497">
        <v>496</v>
      </c>
      <c r="B497" s="7">
        <v>4997291.8756456757</v>
      </c>
      <c r="C497">
        <f t="shared" si="7"/>
        <v>1</v>
      </c>
    </row>
    <row r="498" spans="1:3" x14ac:dyDescent="0.3">
      <c r="A498">
        <v>497</v>
      </c>
      <c r="B498" s="7">
        <v>8331613.4866801258</v>
      </c>
      <c r="C498">
        <f t="shared" si="7"/>
        <v>1</v>
      </c>
    </row>
    <row r="499" spans="1:3" x14ac:dyDescent="0.3">
      <c r="A499">
        <v>498</v>
      </c>
      <c r="B499" s="7">
        <v>4815966.9954084381</v>
      </c>
      <c r="C499">
        <f t="shared" si="7"/>
        <v>1</v>
      </c>
    </row>
    <row r="500" spans="1:3" x14ac:dyDescent="0.3">
      <c r="A500">
        <v>499</v>
      </c>
      <c r="B500" s="7">
        <v>1820002.5426322948</v>
      </c>
      <c r="C500">
        <f t="shared" si="7"/>
        <v>1</v>
      </c>
    </row>
    <row r="501" spans="1:3" x14ac:dyDescent="0.3">
      <c r="A501">
        <v>500</v>
      </c>
      <c r="B501" s="7">
        <v>7529085.1792885661</v>
      </c>
      <c r="C501">
        <f t="shared" si="7"/>
        <v>1</v>
      </c>
    </row>
    <row r="502" spans="1:3" x14ac:dyDescent="0.3">
      <c r="A502">
        <v>501</v>
      </c>
      <c r="B502" s="7">
        <v>4501781.4618278574</v>
      </c>
      <c r="C502">
        <f t="shared" si="7"/>
        <v>1</v>
      </c>
    </row>
    <row r="503" spans="1:3" x14ac:dyDescent="0.3">
      <c r="A503">
        <v>502</v>
      </c>
      <c r="B503" s="7">
        <v>5041348.3935592603</v>
      </c>
      <c r="C503">
        <f t="shared" si="7"/>
        <v>1</v>
      </c>
    </row>
    <row r="504" spans="1:3" x14ac:dyDescent="0.3">
      <c r="A504">
        <v>503</v>
      </c>
      <c r="B504" s="7">
        <v>846556.60200118774</v>
      </c>
      <c r="C504">
        <f t="shared" si="7"/>
        <v>1</v>
      </c>
    </row>
    <row r="505" spans="1:3" x14ac:dyDescent="0.3">
      <c r="A505">
        <v>504</v>
      </c>
      <c r="B505" s="7">
        <v>8129774.0479076449</v>
      </c>
      <c r="C505">
        <f t="shared" si="7"/>
        <v>1</v>
      </c>
    </row>
    <row r="506" spans="1:3" x14ac:dyDescent="0.3">
      <c r="A506">
        <v>505</v>
      </c>
      <c r="B506" s="7">
        <v>5159551.9641196644</v>
      </c>
      <c r="C506">
        <f t="shared" si="7"/>
        <v>1</v>
      </c>
    </row>
    <row r="507" spans="1:3" x14ac:dyDescent="0.3">
      <c r="A507">
        <v>506</v>
      </c>
      <c r="B507" s="7">
        <v>9150101.5065560546</v>
      </c>
      <c r="C507">
        <f t="shared" si="7"/>
        <v>1</v>
      </c>
    </row>
    <row r="508" spans="1:3" x14ac:dyDescent="0.3">
      <c r="A508">
        <v>507</v>
      </c>
      <c r="B508" s="7">
        <v>5630048.6116777677</v>
      </c>
      <c r="C508">
        <f t="shared" si="7"/>
        <v>1</v>
      </c>
    </row>
    <row r="509" spans="1:3" x14ac:dyDescent="0.3">
      <c r="A509">
        <v>508</v>
      </c>
      <c r="B509" s="7">
        <v>5402276.8684309991</v>
      </c>
      <c r="C509">
        <f t="shared" si="7"/>
        <v>1</v>
      </c>
    </row>
    <row r="510" spans="1:3" x14ac:dyDescent="0.3">
      <c r="A510">
        <v>509</v>
      </c>
      <c r="B510" s="7">
        <v>11916247.312982267</v>
      </c>
      <c r="C510">
        <f t="shared" si="7"/>
        <v>1</v>
      </c>
    </row>
    <row r="511" spans="1:3" x14ac:dyDescent="0.3">
      <c r="A511">
        <v>510</v>
      </c>
      <c r="B511" s="7">
        <v>23389760.615846194</v>
      </c>
      <c r="C511">
        <f t="shared" si="7"/>
        <v>1</v>
      </c>
    </row>
    <row r="512" spans="1:3" x14ac:dyDescent="0.3">
      <c r="A512">
        <v>511</v>
      </c>
      <c r="B512" s="7">
        <v>19199710.301404942</v>
      </c>
      <c r="C512">
        <f t="shared" si="7"/>
        <v>1</v>
      </c>
    </row>
    <row r="513" spans="1:3" x14ac:dyDescent="0.3">
      <c r="A513">
        <v>512</v>
      </c>
      <c r="B513" s="7">
        <v>4738821.0618517594</v>
      </c>
      <c r="C513">
        <f t="shared" si="7"/>
        <v>1</v>
      </c>
    </row>
    <row r="514" spans="1:3" x14ac:dyDescent="0.3">
      <c r="A514">
        <v>513</v>
      </c>
      <c r="B514" s="7">
        <v>21207403.559238706</v>
      </c>
      <c r="C514">
        <f t="shared" si="7"/>
        <v>1</v>
      </c>
    </row>
    <row r="515" spans="1:3" x14ac:dyDescent="0.3">
      <c r="A515">
        <v>514</v>
      </c>
      <c r="B515" s="7">
        <v>1604114.163448086</v>
      </c>
      <c r="C515">
        <f t="shared" ref="C515:C578" si="8">IF(B515=0,0,1)</f>
        <v>1</v>
      </c>
    </row>
    <row r="516" spans="1:3" x14ac:dyDescent="0.3">
      <c r="A516">
        <v>515</v>
      </c>
      <c r="B516" s="7">
        <v>4882639.6634030649</v>
      </c>
      <c r="C516">
        <f t="shared" si="8"/>
        <v>1</v>
      </c>
    </row>
    <row r="517" spans="1:3" x14ac:dyDescent="0.3">
      <c r="A517">
        <v>516</v>
      </c>
      <c r="B517" s="7">
        <v>5922114.9243822079</v>
      </c>
      <c r="C517">
        <f t="shared" si="8"/>
        <v>1</v>
      </c>
    </row>
    <row r="518" spans="1:3" x14ac:dyDescent="0.3">
      <c r="A518">
        <v>517</v>
      </c>
      <c r="B518" s="7">
        <v>1951050.3312733299</v>
      </c>
      <c r="C518">
        <f t="shared" si="8"/>
        <v>1</v>
      </c>
    </row>
    <row r="519" spans="1:3" x14ac:dyDescent="0.3">
      <c r="A519">
        <v>518</v>
      </c>
      <c r="B519" s="7">
        <v>1489017.6840982514</v>
      </c>
      <c r="C519">
        <f t="shared" si="8"/>
        <v>1</v>
      </c>
    </row>
    <row r="520" spans="1:3" x14ac:dyDescent="0.3">
      <c r="A520">
        <v>519</v>
      </c>
      <c r="B520" s="7">
        <v>4602589.288546226</v>
      </c>
      <c r="C520">
        <f t="shared" si="8"/>
        <v>1</v>
      </c>
    </row>
    <row r="521" spans="1:3" x14ac:dyDescent="0.3">
      <c r="A521">
        <v>520</v>
      </c>
      <c r="B521" s="7">
        <v>4333988.2723725019</v>
      </c>
      <c r="C521">
        <f t="shared" si="8"/>
        <v>1</v>
      </c>
    </row>
    <row r="522" spans="1:3" x14ac:dyDescent="0.3">
      <c r="A522">
        <v>521</v>
      </c>
      <c r="B522" s="7">
        <v>10921542.039405623</v>
      </c>
      <c r="C522">
        <f t="shared" si="8"/>
        <v>1</v>
      </c>
    </row>
    <row r="523" spans="1:3" x14ac:dyDescent="0.3">
      <c r="A523">
        <v>522</v>
      </c>
      <c r="B523" s="7">
        <v>6055351.2326691998</v>
      </c>
      <c r="C523">
        <f t="shared" si="8"/>
        <v>1</v>
      </c>
    </row>
    <row r="524" spans="1:3" x14ac:dyDescent="0.3">
      <c r="A524">
        <v>523</v>
      </c>
      <c r="B524" s="7">
        <v>2061339.89908051</v>
      </c>
      <c r="C524">
        <f t="shared" si="8"/>
        <v>1</v>
      </c>
    </row>
    <row r="525" spans="1:3" x14ac:dyDescent="0.3">
      <c r="A525">
        <v>524</v>
      </c>
      <c r="B525" s="7">
        <v>4344017.2532401755</v>
      </c>
      <c r="C525">
        <f t="shared" si="8"/>
        <v>1</v>
      </c>
    </row>
    <row r="526" spans="1:3" x14ac:dyDescent="0.3">
      <c r="A526">
        <v>525</v>
      </c>
      <c r="B526" s="7">
        <v>3003164.0247431668</v>
      </c>
      <c r="C526">
        <f t="shared" si="8"/>
        <v>1</v>
      </c>
    </row>
    <row r="527" spans="1:3" x14ac:dyDescent="0.3">
      <c r="A527">
        <v>526</v>
      </c>
      <c r="B527" s="7">
        <v>4320299.2105874689</v>
      </c>
      <c r="C527">
        <f t="shared" si="8"/>
        <v>1</v>
      </c>
    </row>
    <row r="528" spans="1:3" x14ac:dyDescent="0.3">
      <c r="A528">
        <v>527</v>
      </c>
      <c r="B528" s="7">
        <v>7186202.2622681903</v>
      </c>
      <c r="C528">
        <f t="shared" si="8"/>
        <v>1</v>
      </c>
    </row>
    <row r="529" spans="1:3" x14ac:dyDescent="0.3">
      <c r="A529">
        <v>528</v>
      </c>
      <c r="B529" s="7">
        <v>8784291.5459101666</v>
      </c>
      <c r="C529">
        <f t="shared" si="8"/>
        <v>1</v>
      </c>
    </row>
    <row r="530" spans="1:3" x14ac:dyDescent="0.3">
      <c r="A530">
        <v>529</v>
      </c>
      <c r="B530" s="7">
        <v>6219461.5615815995</v>
      </c>
      <c r="C530">
        <f t="shared" si="8"/>
        <v>1</v>
      </c>
    </row>
    <row r="531" spans="1:3" x14ac:dyDescent="0.3">
      <c r="A531">
        <v>530</v>
      </c>
      <c r="B531" s="7">
        <v>424208.34330872464</v>
      </c>
      <c r="C531">
        <f t="shared" si="8"/>
        <v>1</v>
      </c>
    </row>
    <row r="532" spans="1:3" x14ac:dyDescent="0.3">
      <c r="A532">
        <v>531</v>
      </c>
      <c r="B532" s="7">
        <v>0</v>
      </c>
      <c r="C532">
        <f t="shared" si="8"/>
        <v>0</v>
      </c>
    </row>
    <row r="533" spans="1:3" x14ac:dyDescent="0.3">
      <c r="A533">
        <v>532</v>
      </c>
      <c r="B533" s="7">
        <v>6385491.408657725</v>
      </c>
      <c r="C533">
        <f t="shared" si="8"/>
        <v>1</v>
      </c>
    </row>
    <row r="534" spans="1:3" x14ac:dyDescent="0.3">
      <c r="A534">
        <v>533</v>
      </c>
      <c r="B534" s="7">
        <v>1924802.1775327001</v>
      </c>
      <c r="C534">
        <f t="shared" si="8"/>
        <v>1</v>
      </c>
    </row>
    <row r="535" spans="1:3" x14ac:dyDescent="0.3">
      <c r="A535">
        <v>534</v>
      </c>
      <c r="B535" s="7">
        <v>1053012.5871177516</v>
      </c>
      <c r="C535">
        <f t="shared" si="8"/>
        <v>1</v>
      </c>
    </row>
    <row r="536" spans="1:3" x14ac:dyDescent="0.3">
      <c r="A536">
        <v>535</v>
      </c>
      <c r="B536" s="7">
        <v>9928007.7845831998</v>
      </c>
      <c r="C536">
        <f t="shared" si="8"/>
        <v>1</v>
      </c>
    </row>
    <row r="537" spans="1:3" x14ac:dyDescent="0.3">
      <c r="A537">
        <v>536</v>
      </c>
      <c r="B537" s="7">
        <v>4628665.4255045624</v>
      </c>
      <c r="C537">
        <f t="shared" si="8"/>
        <v>1</v>
      </c>
    </row>
    <row r="538" spans="1:3" x14ac:dyDescent="0.3">
      <c r="A538">
        <v>537</v>
      </c>
      <c r="B538" s="7">
        <v>6282978.019844044</v>
      </c>
      <c r="C538">
        <f t="shared" si="8"/>
        <v>1</v>
      </c>
    </row>
    <row r="539" spans="1:3" x14ac:dyDescent="0.3">
      <c r="A539">
        <v>538</v>
      </c>
      <c r="B539" s="7">
        <v>3432156.7609631154</v>
      </c>
      <c r="C539">
        <f t="shared" si="8"/>
        <v>1</v>
      </c>
    </row>
    <row r="540" spans="1:3" x14ac:dyDescent="0.3">
      <c r="A540">
        <v>539</v>
      </c>
      <c r="B540" s="7">
        <v>11563836.627576815</v>
      </c>
      <c r="C540">
        <f t="shared" si="8"/>
        <v>1</v>
      </c>
    </row>
    <row r="541" spans="1:3" x14ac:dyDescent="0.3">
      <c r="A541">
        <v>540</v>
      </c>
      <c r="B541" s="7">
        <v>1791367.7489293795</v>
      </c>
      <c r="C541">
        <f t="shared" si="8"/>
        <v>1</v>
      </c>
    </row>
    <row r="542" spans="1:3" x14ac:dyDescent="0.3">
      <c r="A542">
        <v>541</v>
      </c>
      <c r="B542" s="7">
        <v>2177892.0890080053</v>
      </c>
      <c r="C542">
        <f t="shared" si="8"/>
        <v>1</v>
      </c>
    </row>
    <row r="543" spans="1:3" x14ac:dyDescent="0.3">
      <c r="A543">
        <v>542</v>
      </c>
      <c r="B543" s="7">
        <v>2661855.7507033651</v>
      </c>
      <c r="C543">
        <f t="shared" si="8"/>
        <v>1</v>
      </c>
    </row>
    <row r="544" spans="1:3" x14ac:dyDescent="0.3">
      <c r="A544">
        <v>543</v>
      </c>
      <c r="B544" s="7">
        <v>10289415.240701618</v>
      </c>
      <c r="C544">
        <f t="shared" si="8"/>
        <v>1</v>
      </c>
    </row>
    <row r="545" spans="1:3" x14ac:dyDescent="0.3">
      <c r="A545">
        <v>544</v>
      </c>
      <c r="B545" s="7">
        <v>17601364.259546645</v>
      </c>
      <c r="C545">
        <f t="shared" si="8"/>
        <v>1</v>
      </c>
    </row>
    <row r="546" spans="1:3" x14ac:dyDescent="0.3">
      <c r="A546">
        <v>545</v>
      </c>
      <c r="B546" s="7">
        <v>4244615.3844657773</v>
      </c>
      <c r="C546">
        <f t="shared" si="8"/>
        <v>1</v>
      </c>
    </row>
    <row r="547" spans="1:3" x14ac:dyDescent="0.3">
      <c r="A547">
        <v>546</v>
      </c>
      <c r="B547" s="7">
        <v>6942548.5563607793</v>
      </c>
      <c r="C547">
        <f t="shared" si="8"/>
        <v>1</v>
      </c>
    </row>
    <row r="548" spans="1:3" x14ac:dyDescent="0.3">
      <c r="A548">
        <v>547</v>
      </c>
      <c r="B548" s="7">
        <v>4247479.3571648728</v>
      </c>
      <c r="C548">
        <f t="shared" si="8"/>
        <v>1</v>
      </c>
    </row>
    <row r="549" spans="1:3" x14ac:dyDescent="0.3">
      <c r="A549">
        <v>548</v>
      </c>
      <c r="B549" s="7">
        <v>975856.22401556384</v>
      </c>
      <c r="C549">
        <f t="shared" si="8"/>
        <v>1</v>
      </c>
    </row>
    <row r="550" spans="1:3" x14ac:dyDescent="0.3">
      <c r="A550">
        <v>549</v>
      </c>
      <c r="B550" s="7">
        <v>2010454.6491472574</v>
      </c>
      <c r="C550">
        <f t="shared" si="8"/>
        <v>1</v>
      </c>
    </row>
    <row r="551" spans="1:3" x14ac:dyDescent="0.3">
      <c r="A551">
        <v>550</v>
      </c>
      <c r="B551" s="7">
        <v>8793896.3072585184</v>
      </c>
      <c r="C551">
        <f t="shared" si="8"/>
        <v>1</v>
      </c>
    </row>
    <row r="552" spans="1:3" x14ac:dyDescent="0.3">
      <c r="A552">
        <v>551</v>
      </c>
      <c r="B552" s="7">
        <v>13068768.417310547</v>
      </c>
      <c r="C552">
        <f t="shared" si="8"/>
        <v>1</v>
      </c>
    </row>
    <row r="553" spans="1:3" x14ac:dyDescent="0.3">
      <c r="A553">
        <v>552</v>
      </c>
      <c r="B553" s="7">
        <v>565315.21624244261</v>
      </c>
      <c r="C553">
        <f t="shared" si="8"/>
        <v>1</v>
      </c>
    </row>
    <row r="554" spans="1:3" x14ac:dyDescent="0.3">
      <c r="A554">
        <v>553</v>
      </c>
      <c r="B554" s="7">
        <v>3085205.0024492405</v>
      </c>
      <c r="C554">
        <f t="shared" si="8"/>
        <v>1</v>
      </c>
    </row>
    <row r="555" spans="1:3" x14ac:dyDescent="0.3">
      <c r="A555">
        <v>554</v>
      </c>
      <c r="B555" s="7">
        <v>6450140.788116253</v>
      </c>
      <c r="C555">
        <f t="shared" si="8"/>
        <v>1</v>
      </c>
    </row>
    <row r="556" spans="1:3" x14ac:dyDescent="0.3">
      <c r="A556">
        <v>555</v>
      </c>
      <c r="B556" s="7">
        <v>16880678.475308266</v>
      </c>
      <c r="C556">
        <f t="shared" si="8"/>
        <v>1</v>
      </c>
    </row>
    <row r="557" spans="1:3" x14ac:dyDescent="0.3">
      <c r="A557">
        <v>556</v>
      </c>
      <c r="B557" s="7">
        <v>12173008.970336439</v>
      </c>
      <c r="C557">
        <f t="shared" si="8"/>
        <v>1</v>
      </c>
    </row>
    <row r="558" spans="1:3" x14ac:dyDescent="0.3">
      <c r="A558">
        <v>557</v>
      </c>
      <c r="B558" s="7">
        <v>4314916.1671053525</v>
      </c>
      <c r="C558">
        <f t="shared" si="8"/>
        <v>1</v>
      </c>
    </row>
    <row r="559" spans="1:3" x14ac:dyDescent="0.3">
      <c r="A559">
        <v>558</v>
      </c>
      <c r="B559" s="7">
        <v>6153140.2985366862</v>
      </c>
      <c r="C559">
        <f t="shared" si="8"/>
        <v>1</v>
      </c>
    </row>
    <row r="560" spans="1:3" x14ac:dyDescent="0.3">
      <c r="A560">
        <v>559</v>
      </c>
      <c r="B560" s="7">
        <v>11338838.933391705</v>
      </c>
      <c r="C560">
        <f t="shared" si="8"/>
        <v>1</v>
      </c>
    </row>
    <row r="561" spans="1:3" x14ac:dyDescent="0.3">
      <c r="A561">
        <v>560</v>
      </c>
      <c r="B561" s="7">
        <v>2191628.4449602631</v>
      </c>
      <c r="C561">
        <f t="shared" si="8"/>
        <v>1</v>
      </c>
    </row>
    <row r="562" spans="1:3" x14ac:dyDescent="0.3">
      <c r="A562">
        <v>561</v>
      </c>
      <c r="B562" s="7">
        <v>11801627.369453747</v>
      </c>
      <c r="C562">
        <f t="shared" si="8"/>
        <v>1</v>
      </c>
    </row>
    <row r="563" spans="1:3" x14ac:dyDescent="0.3">
      <c r="A563">
        <v>562</v>
      </c>
      <c r="B563" s="7">
        <v>757477.55783142068</v>
      </c>
      <c r="C563">
        <f t="shared" si="8"/>
        <v>1</v>
      </c>
    </row>
    <row r="564" spans="1:3" x14ac:dyDescent="0.3">
      <c r="A564">
        <v>563</v>
      </c>
      <c r="B564" s="7">
        <v>10126603.471470665</v>
      </c>
      <c r="C564">
        <f t="shared" si="8"/>
        <v>1</v>
      </c>
    </row>
    <row r="565" spans="1:3" x14ac:dyDescent="0.3">
      <c r="A565">
        <v>564</v>
      </c>
      <c r="B565" s="7">
        <v>9238985.2823939957</v>
      </c>
      <c r="C565">
        <f t="shared" si="8"/>
        <v>1</v>
      </c>
    </row>
    <row r="566" spans="1:3" x14ac:dyDescent="0.3">
      <c r="A566">
        <v>565</v>
      </c>
      <c r="B566" s="7">
        <v>27053349.324169662</v>
      </c>
      <c r="C566">
        <f t="shared" si="8"/>
        <v>1</v>
      </c>
    </row>
    <row r="567" spans="1:3" x14ac:dyDescent="0.3">
      <c r="A567">
        <v>566</v>
      </c>
      <c r="B567" s="7">
        <v>2525734.7326958873</v>
      </c>
      <c r="C567">
        <f t="shared" si="8"/>
        <v>1</v>
      </c>
    </row>
    <row r="568" spans="1:3" x14ac:dyDescent="0.3">
      <c r="A568">
        <v>567</v>
      </c>
      <c r="B568" s="7">
        <v>4170486.7040391364</v>
      </c>
      <c r="C568">
        <f t="shared" si="8"/>
        <v>1</v>
      </c>
    </row>
    <row r="569" spans="1:3" x14ac:dyDescent="0.3">
      <c r="A569">
        <v>568</v>
      </c>
      <c r="B569" s="7">
        <v>4241340.0373152327</v>
      </c>
      <c r="C569">
        <f t="shared" si="8"/>
        <v>1</v>
      </c>
    </row>
    <row r="570" spans="1:3" x14ac:dyDescent="0.3">
      <c r="A570">
        <v>569</v>
      </c>
      <c r="B570" s="7">
        <v>19910936.835607938</v>
      </c>
      <c r="C570">
        <f t="shared" si="8"/>
        <v>1</v>
      </c>
    </row>
    <row r="571" spans="1:3" x14ac:dyDescent="0.3">
      <c r="A571">
        <v>570</v>
      </c>
      <c r="B571" s="7">
        <v>8945707.8823032025</v>
      </c>
      <c r="C571">
        <f t="shared" si="8"/>
        <v>1</v>
      </c>
    </row>
    <row r="572" spans="1:3" x14ac:dyDescent="0.3">
      <c r="A572">
        <v>571</v>
      </c>
      <c r="B572" s="7">
        <v>2780836.5657194997</v>
      </c>
      <c r="C572">
        <f t="shared" si="8"/>
        <v>1</v>
      </c>
    </row>
    <row r="573" spans="1:3" x14ac:dyDescent="0.3">
      <c r="A573">
        <v>572</v>
      </c>
      <c r="B573" s="7">
        <v>12794805.108504763</v>
      </c>
      <c r="C573">
        <f t="shared" si="8"/>
        <v>1</v>
      </c>
    </row>
    <row r="574" spans="1:3" x14ac:dyDescent="0.3">
      <c r="A574">
        <v>573</v>
      </c>
      <c r="B574" s="7">
        <v>14810462.87880476</v>
      </c>
      <c r="C574">
        <f t="shared" si="8"/>
        <v>1</v>
      </c>
    </row>
    <row r="575" spans="1:3" x14ac:dyDescent="0.3">
      <c r="A575">
        <v>574</v>
      </c>
      <c r="B575" s="7">
        <v>33740969.555758297</v>
      </c>
      <c r="C575">
        <f t="shared" si="8"/>
        <v>1</v>
      </c>
    </row>
    <row r="576" spans="1:3" x14ac:dyDescent="0.3">
      <c r="A576">
        <v>575</v>
      </c>
      <c r="B576" s="7">
        <v>5509053.6837051529</v>
      </c>
      <c r="C576">
        <f t="shared" si="8"/>
        <v>1</v>
      </c>
    </row>
    <row r="577" spans="1:3" x14ac:dyDescent="0.3">
      <c r="A577">
        <v>576</v>
      </c>
      <c r="B577" s="7">
        <v>7498099.3061084226</v>
      </c>
      <c r="C577">
        <f t="shared" si="8"/>
        <v>1</v>
      </c>
    </row>
    <row r="578" spans="1:3" x14ac:dyDescent="0.3">
      <c r="A578">
        <v>577</v>
      </c>
      <c r="B578" s="7">
        <v>3849507.0029802965</v>
      </c>
      <c r="C578">
        <f t="shared" si="8"/>
        <v>1</v>
      </c>
    </row>
    <row r="579" spans="1:3" x14ac:dyDescent="0.3">
      <c r="A579">
        <v>578</v>
      </c>
      <c r="B579" s="7">
        <v>7717378.0411404148</v>
      </c>
      <c r="C579">
        <f t="shared" ref="C579:C642" si="9">IF(B579=0,0,1)</f>
        <v>1</v>
      </c>
    </row>
    <row r="580" spans="1:3" x14ac:dyDescent="0.3">
      <c r="A580">
        <v>579</v>
      </c>
      <c r="B580" s="7">
        <v>6094495.2828332661</v>
      </c>
      <c r="C580">
        <f t="shared" si="9"/>
        <v>1</v>
      </c>
    </row>
    <row r="581" spans="1:3" x14ac:dyDescent="0.3">
      <c r="A581">
        <v>580</v>
      </c>
      <c r="B581" s="7">
        <v>4861906.9485735726</v>
      </c>
      <c r="C581">
        <f t="shared" si="9"/>
        <v>1</v>
      </c>
    </row>
    <row r="582" spans="1:3" x14ac:dyDescent="0.3">
      <c r="A582">
        <v>581</v>
      </c>
      <c r="B582" s="7">
        <v>0</v>
      </c>
      <c r="C582">
        <f t="shared" si="9"/>
        <v>0</v>
      </c>
    </row>
    <row r="583" spans="1:3" x14ac:dyDescent="0.3">
      <c r="A583">
        <v>582</v>
      </c>
      <c r="B583" s="7">
        <v>7672911.7424864825</v>
      </c>
      <c r="C583">
        <f t="shared" si="9"/>
        <v>1</v>
      </c>
    </row>
    <row r="584" spans="1:3" x14ac:dyDescent="0.3">
      <c r="A584">
        <v>583</v>
      </c>
      <c r="B584" s="7">
        <v>8208872.8935020091</v>
      </c>
      <c r="C584">
        <f t="shared" si="9"/>
        <v>1</v>
      </c>
    </row>
    <row r="585" spans="1:3" x14ac:dyDescent="0.3">
      <c r="A585">
        <v>584</v>
      </c>
      <c r="B585" s="7">
        <v>0</v>
      </c>
      <c r="C585">
        <f t="shared" si="9"/>
        <v>0</v>
      </c>
    </row>
    <row r="586" spans="1:3" x14ac:dyDescent="0.3">
      <c r="A586">
        <v>585</v>
      </c>
      <c r="B586" s="7">
        <v>430696.51969816355</v>
      </c>
      <c r="C586">
        <f t="shared" si="9"/>
        <v>1</v>
      </c>
    </row>
    <row r="587" spans="1:3" x14ac:dyDescent="0.3">
      <c r="A587">
        <v>586</v>
      </c>
      <c r="B587" s="7">
        <v>4967396.9635042744</v>
      </c>
      <c r="C587">
        <f t="shared" si="9"/>
        <v>1</v>
      </c>
    </row>
    <row r="588" spans="1:3" x14ac:dyDescent="0.3">
      <c r="A588">
        <v>587</v>
      </c>
      <c r="B588" s="7">
        <v>5389951.2233708696</v>
      </c>
      <c r="C588">
        <f t="shared" si="9"/>
        <v>1</v>
      </c>
    </row>
    <row r="589" spans="1:3" x14ac:dyDescent="0.3">
      <c r="A589">
        <v>588</v>
      </c>
      <c r="B589" s="7">
        <v>6871719.3085842887</v>
      </c>
      <c r="C589">
        <f t="shared" si="9"/>
        <v>1</v>
      </c>
    </row>
    <row r="590" spans="1:3" x14ac:dyDescent="0.3">
      <c r="A590">
        <v>589</v>
      </c>
      <c r="B590" s="7">
        <v>1066078.8550878721</v>
      </c>
      <c r="C590">
        <f t="shared" si="9"/>
        <v>1</v>
      </c>
    </row>
    <row r="591" spans="1:3" x14ac:dyDescent="0.3">
      <c r="A591">
        <v>590</v>
      </c>
      <c r="B591" s="7">
        <v>7770087.8132253001</v>
      </c>
      <c r="C591">
        <f t="shared" si="9"/>
        <v>1</v>
      </c>
    </row>
    <row r="592" spans="1:3" x14ac:dyDescent="0.3">
      <c r="A592">
        <v>591</v>
      </c>
      <c r="B592" s="7">
        <v>1757098.4299589531</v>
      </c>
      <c r="C592">
        <f t="shared" si="9"/>
        <v>1</v>
      </c>
    </row>
    <row r="593" spans="1:3" x14ac:dyDescent="0.3">
      <c r="A593">
        <v>592</v>
      </c>
      <c r="B593" s="7">
        <v>4002766.7304038014</v>
      </c>
      <c r="C593">
        <f t="shared" si="9"/>
        <v>1</v>
      </c>
    </row>
    <row r="594" spans="1:3" x14ac:dyDescent="0.3">
      <c r="A594">
        <v>593</v>
      </c>
      <c r="B594" s="7">
        <v>4844221.3640654078</v>
      </c>
      <c r="C594">
        <f t="shared" si="9"/>
        <v>1</v>
      </c>
    </row>
    <row r="595" spans="1:3" x14ac:dyDescent="0.3">
      <c r="A595">
        <v>594</v>
      </c>
      <c r="B595" s="7">
        <v>487875.89086862153</v>
      </c>
      <c r="C595">
        <f t="shared" si="9"/>
        <v>1</v>
      </c>
    </row>
    <row r="596" spans="1:3" x14ac:dyDescent="0.3">
      <c r="A596">
        <v>595</v>
      </c>
      <c r="B596" s="7">
        <v>22637377.757976636</v>
      </c>
      <c r="C596">
        <f t="shared" si="9"/>
        <v>1</v>
      </c>
    </row>
    <row r="597" spans="1:3" x14ac:dyDescent="0.3">
      <c r="A597">
        <v>596</v>
      </c>
      <c r="B597" s="7">
        <v>3574658.7161346469</v>
      </c>
      <c r="C597">
        <f t="shared" si="9"/>
        <v>1</v>
      </c>
    </row>
    <row r="598" spans="1:3" x14ac:dyDescent="0.3">
      <c r="A598">
        <v>597</v>
      </c>
      <c r="B598" s="7">
        <v>3957047.3478982686</v>
      </c>
      <c r="C598">
        <f t="shared" si="9"/>
        <v>1</v>
      </c>
    </row>
    <row r="599" spans="1:3" x14ac:dyDescent="0.3">
      <c r="A599">
        <v>598</v>
      </c>
      <c r="B599" s="7">
        <v>6417477.0982157364</v>
      </c>
      <c r="C599">
        <f t="shared" si="9"/>
        <v>1</v>
      </c>
    </row>
    <row r="600" spans="1:3" x14ac:dyDescent="0.3">
      <c r="A600">
        <v>599</v>
      </c>
      <c r="B600" s="7">
        <v>14484503.170203375</v>
      </c>
      <c r="C600">
        <f t="shared" si="9"/>
        <v>1</v>
      </c>
    </row>
    <row r="601" spans="1:3" x14ac:dyDescent="0.3">
      <c r="A601">
        <v>600</v>
      </c>
      <c r="B601" s="7">
        <v>2761347.6455379068</v>
      </c>
      <c r="C601">
        <f t="shared" si="9"/>
        <v>1</v>
      </c>
    </row>
    <row r="602" spans="1:3" x14ac:dyDescent="0.3">
      <c r="A602">
        <v>601</v>
      </c>
      <c r="B602" s="7">
        <v>557791.00484345423</v>
      </c>
      <c r="C602">
        <f t="shared" si="9"/>
        <v>1</v>
      </c>
    </row>
    <row r="603" spans="1:3" x14ac:dyDescent="0.3">
      <c r="A603">
        <v>602</v>
      </c>
      <c r="B603" s="7">
        <v>10448939.028681567</v>
      </c>
      <c r="C603">
        <f t="shared" si="9"/>
        <v>1</v>
      </c>
    </row>
    <row r="604" spans="1:3" x14ac:dyDescent="0.3">
      <c r="A604">
        <v>603</v>
      </c>
      <c r="B604" s="7">
        <v>4749216.074182244</v>
      </c>
      <c r="C604">
        <f t="shared" si="9"/>
        <v>1</v>
      </c>
    </row>
    <row r="605" spans="1:3" x14ac:dyDescent="0.3">
      <c r="A605">
        <v>604</v>
      </c>
      <c r="B605" s="7">
        <v>19847025.770615578</v>
      </c>
      <c r="C605">
        <f t="shared" si="9"/>
        <v>1</v>
      </c>
    </row>
    <row r="606" spans="1:3" x14ac:dyDescent="0.3">
      <c r="A606">
        <v>605</v>
      </c>
      <c r="B606" s="7">
        <v>6372844.0424131649</v>
      </c>
      <c r="C606">
        <f t="shared" si="9"/>
        <v>1</v>
      </c>
    </row>
    <row r="607" spans="1:3" x14ac:dyDescent="0.3">
      <c r="A607">
        <v>606</v>
      </c>
      <c r="B607" s="7">
        <v>4672644.6489573587</v>
      </c>
      <c r="C607">
        <f t="shared" si="9"/>
        <v>1</v>
      </c>
    </row>
    <row r="608" spans="1:3" x14ac:dyDescent="0.3">
      <c r="A608">
        <v>607</v>
      </c>
      <c r="B608" s="7">
        <v>5952673.1738317562</v>
      </c>
      <c r="C608">
        <f t="shared" si="9"/>
        <v>1</v>
      </c>
    </row>
    <row r="609" spans="1:3" x14ac:dyDescent="0.3">
      <c r="A609">
        <v>608</v>
      </c>
      <c r="B609" s="7">
        <v>2170642.7000498562</v>
      </c>
      <c r="C609">
        <f t="shared" si="9"/>
        <v>1</v>
      </c>
    </row>
    <row r="610" spans="1:3" x14ac:dyDescent="0.3">
      <c r="A610">
        <v>609</v>
      </c>
      <c r="B610" s="7">
        <v>3887234.9289872623</v>
      </c>
      <c r="C610">
        <f t="shared" si="9"/>
        <v>1</v>
      </c>
    </row>
    <row r="611" spans="1:3" x14ac:dyDescent="0.3">
      <c r="A611">
        <v>610</v>
      </c>
      <c r="B611" s="7">
        <v>4501216.9677242488</v>
      </c>
      <c r="C611">
        <f t="shared" si="9"/>
        <v>1</v>
      </c>
    </row>
    <row r="612" spans="1:3" x14ac:dyDescent="0.3">
      <c r="A612">
        <v>611</v>
      </c>
      <c r="B612" s="7">
        <v>11481458.008750541</v>
      </c>
      <c r="C612">
        <f t="shared" si="9"/>
        <v>1</v>
      </c>
    </row>
    <row r="613" spans="1:3" x14ac:dyDescent="0.3">
      <c r="A613">
        <v>612</v>
      </c>
      <c r="B613" s="7">
        <v>2751374.0769493035</v>
      </c>
      <c r="C613">
        <f t="shared" si="9"/>
        <v>1</v>
      </c>
    </row>
    <row r="614" spans="1:3" x14ac:dyDescent="0.3">
      <c r="A614">
        <v>613</v>
      </c>
      <c r="B614" s="7">
        <v>13575237.788150273</v>
      </c>
      <c r="C614">
        <f t="shared" si="9"/>
        <v>1</v>
      </c>
    </row>
    <row r="615" spans="1:3" x14ac:dyDescent="0.3">
      <c r="A615">
        <v>614</v>
      </c>
      <c r="B615" s="7">
        <v>19030702.303417578</v>
      </c>
      <c r="C615">
        <f t="shared" si="9"/>
        <v>1</v>
      </c>
    </row>
    <row r="616" spans="1:3" x14ac:dyDescent="0.3">
      <c r="A616">
        <v>615</v>
      </c>
      <c r="B616" s="7">
        <v>4810254.1874381527</v>
      </c>
      <c r="C616">
        <f t="shared" si="9"/>
        <v>1</v>
      </c>
    </row>
    <row r="617" spans="1:3" x14ac:dyDescent="0.3">
      <c r="A617">
        <v>616</v>
      </c>
      <c r="B617" s="7">
        <v>17434575.177384846</v>
      </c>
      <c r="C617">
        <f t="shared" si="9"/>
        <v>1</v>
      </c>
    </row>
    <row r="618" spans="1:3" x14ac:dyDescent="0.3">
      <c r="A618">
        <v>617</v>
      </c>
      <c r="B618" s="7">
        <v>0</v>
      </c>
      <c r="C618">
        <f t="shared" si="9"/>
        <v>0</v>
      </c>
    </row>
    <row r="619" spans="1:3" x14ac:dyDescent="0.3">
      <c r="A619">
        <v>618</v>
      </c>
      <c r="B619" s="7">
        <v>2477760.9438582282</v>
      </c>
      <c r="C619">
        <f t="shared" si="9"/>
        <v>1</v>
      </c>
    </row>
    <row r="620" spans="1:3" x14ac:dyDescent="0.3">
      <c r="A620">
        <v>619</v>
      </c>
      <c r="B620" s="7">
        <v>896331.22103457444</v>
      </c>
      <c r="C620">
        <f t="shared" si="9"/>
        <v>1</v>
      </c>
    </row>
    <row r="621" spans="1:3" x14ac:dyDescent="0.3">
      <c r="A621">
        <v>620</v>
      </c>
      <c r="B621" s="7">
        <v>2213341.6291112425</v>
      </c>
      <c r="C621">
        <f t="shared" si="9"/>
        <v>1</v>
      </c>
    </row>
    <row r="622" spans="1:3" x14ac:dyDescent="0.3">
      <c r="A622">
        <v>621</v>
      </c>
      <c r="B622" s="7">
        <v>5427674.734564973</v>
      </c>
      <c r="C622">
        <f t="shared" si="9"/>
        <v>1</v>
      </c>
    </row>
    <row r="623" spans="1:3" x14ac:dyDescent="0.3">
      <c r="A623">
        <v>622</v>
      </c>
      <c r="B623" s="7">
        <v>4337054.2159956666</v>
      </c>
      <c r="C623">
        <f t="shared" si="9"/>
        <v>1</v>
      </c>
    </row>
    <row r="624" spans="1:3" x14ac:dyDescent="0.3">
      <c r="A624">
        <v>623</v>
      </c>
      <c r="B624" s="7">
        <v>2859552.3577734609</v>
      </c>
      <c r="C624">
        <f t="shared" si="9"/>
        <v>1</v>
      </c>
    </row>
    <row r="625" spans="1:3" x14ac:dyDescent="0.3">
      <c r="A625">
        <v>624</v>
      </c>
      <c r="B625" s="7">
        <v>0</v>
      </c>
      <c r="C625">
        <f t="shared" si="9"/>
        <v>0</v>
      </c>
    </row>
    <row r="626" spans="1:3" x14ac:dyDescent="0.3">
      <c r="A626">
        <v>625</v>
      </c>
      <c r="B626" s="7">
        <v>6102770.108192822</v>
      </c>
      <c r="C626">
        <f t="shared" si="9"/>
        <v>1</v>
      </c>
    </row>
    <row r="627" spans="1:3" x14ac:dyDescent="0.3">
      <c r="A627">
        <v>626</v>
      </c>
      <c r="B627" s="7">
        <v>3339459.7816608758</v>
      </c>
      <c r="C627">
        <f t="shared" si="9"/>
        <v>1</v>
      </c>
    </row>
    <row r="628" spans="1:3" x14ac:dyDescent="0.3">
      <c r="A628">
        <v>627</v>
      </c>
      <c r="B628" s="7">
        <v>3422815.3259218005</v>
      </c>
      <c r="C628">
        <f t="shared" si="9"/>
        <v>1</v>
      </c>
    </row>
    <row r="629" spans="1:3" x14ac:dyDescent="0.3">
      <c r="A629">
        <v>628</v>
      </c>
      <c r="B629" s="7">
        <v>11472324.056046274</v>
      </c>
      <c r="C629">
        <f t="shared" si="9"/>
        <v>1</v>
      </c>
    </row>
    <row r="630" spans="1:3" x14ac:dyDescent="0.3">
      <c r="A630">
        <v>629</v>
      </c>
      <c r="B630" s="7">
        <v>1445774.8010089328</v>
      </c>
      <c r="C630">
        <f t="shared" si="9"/>
        <v>1</v>
      </c>
    </row>
    <row r="631" spans="1:3" x14ac:dyDescent="0.3">
      <c r="A631">
        <v>630</v>
      </c>
      <c r="B631" s="7">
        <v>10518808.933363764</v>
      </c>
      <c r="C631">
        <f t="shared" si="9"/>
        <v>1</v>
      </c>
    </row>
    <row r="632" spans="1:3" x14ac:dyDescent="0.3">
      <c r="A632">
        <v>631</v>
      </c>
      <c r="B632" s="7">
        <v>5196529.0849126847</v>
      </c>
      <c r="C632">
        <f t="shared" si="9"/>
        <v>1</v>
      </c>
    </row>
    <row r="633" spans="1:3" x14ac:dyDescent="0.3">
      <c r="A633">
        <v>632</v>
      </c>
      <c r="B633" s="7">
        <v>2373260.949706661</v>
      </c>
      <c r="C633">
        <f t="shared" si="9"/>
        <v>1</v>
      </c>
    </row>
    <row r="634" spans="1:3" x14ac:dyDescent="0.3">
      <c r="A634">
        <v>633</v>
      </c>
      <c r="B634" s="7">
        <v>7051475.8904305073</v>
      </c>
      <c r="C634">
        <f t="shared" si="9"/>
        <v>1</v>
      </c>
    </row>
    <row r="635" spans="1:3" x14ac:dyDescent="0.3">
      <c r="A635">
        <v>634</v>
      </c>
      <c r="B635" s="7">
        <v>5007309.8434805227</v>
      </c>
      <c r="C635">
        <f t="shared" si="9"/>
        <v>1</v>
      </c>
    </row>
    <row r="636" spans="1:3" x14ac:dyDescent="0.3">
      <c r="A636">
        <v>635</v>
      </c>
      <c r="B636" s="7">
        <v>2517838.928490655</v>
      </c>
      <c r="C636">
        <f t="shared" si="9"/>
        <v>1</v>
      </c>
    </row>
    <row r="637" spans="1:3" x14ac:dyDescent="0.3">
      <c r="A637">
        <v>636</v>
      </c>
      <c r="B637" s="7">
        <v>464067.30238983495</v>
      </c>
      <c r="C637">
        <f t="shared" si="9"/>
        <v>1</v>
      </c>
    </row>
    <row r="638" spans="1:3" x14ac:dyDescent="0.3">
      <c r="A638">
        <v>637</v>
      </c>
      <c r="B638" s="7">
        <v>4187644.4066203474</v>
      </c>
      <c r="C638">
        <f t="shared" si="9"/>
        <v>1</v>
      </c>
    </row>
    <row r="639" spans="1:3" x14ac:dyDescent="0.3">
      <c r="A639">
        <v>638</v>
      </c>
      <c r="B639" s="7">
        <v>5006180.3723918805</v>
      </c>
      <c r="C639">
        <f t="shared" si="9"/>
        <v>1</v>
      </c>
    </row>
    <row r="640" spans="1:3" x14ac:dyDescent="0.3">
      <c r="A640">
        <v>639</v>
      </c>
      <c r="B640" s="7">
        <v>1900769.9249453682</v>
      </c>
      <c r="C640">
        <f t="shared" si="9"/>
        <v>1</v>
      </c>
    </row>
    <row r="641" spans="1:3" x14ac:dyDescent="0.3">
      <c r="A641">
        <v>640</v>
      </c>
      <c r="B641" s="7">
        <v>5734053.510577945</v>
      </c>
      <c r="C641">
        <f t="shared" si="9"/>
        <v>1</v>
      </c>
    </row>
    <row r="642" spans="1:3" x14ac:dyDescent="0.3">
      <c r="A642">
        <v>641</v>
      </c>
      <c r="B642" s="7">
        <v>6971036.1757663023</v>
      </c>
      <c r="C642">
        <f t="shared" si="9"/>
        <v>1</v>
      </c>
    </row>
    <row r="643" spans="1:3" x14ac:dyDescent="0.3">
      <c r="A643">
        <v>642</v>
      </c>
      <c r="B643" s="7">
        <v>1415188.4368302273</v>
      </c>
      <c r="C643">
        <f t="shared" ref="C643:C706" si="10">IF(B643=0,0,1)</f>
        <v>1</v>
      </c>
    </row>
    <row r="644" spans="1:3" x14ac:dyDescent="0.3">
      <c r="A644">
        <v>643</v>
      </c>
      <c r="B644" s="7">
        <v>8513370.1049617864</v>
      </c>
      <c r="C644">
        <f t="shared" si="10"/>
        <v>1</v>
      </c>
    </row>
    <row r="645" spans="1:3" x14ac:dyDescent="0.3">
      <c r="A645">
        <v>644</v>
      </c>
      <c r="B645" s="7">
        <v>6628041.3970965128</v>
      </c>
      <c r="C645">
        <f t="shared" si="10"/>
        <v>1</v>
      </c>
    </row>
    <row r="646" spans="1:3" x14ac:dyDescent="0.3">
      <c r="A646">
        <v>645</v>
      </c>
      <c r="B646" s="7">
        <v>4336172.7644500453</v>
      </c>
      <c r="C646">
        <f t="shared" si="10"/>
        <v>1</v>
      </c>
    </row>
    <row r="647" spans="1:3" x14ac:dyDescent="0.3">
      <c r="A647">
        <v>646</v>
      </c>
      <c r="B647" s="7">
        <v>7772125.9443074493</v>
      </c>
      <c r="C647">
        <f t="shared" si="10"/>
        <v>1</v>
      </c>
    </row>
    <row r="648" spans="1:3" x14ac:dyDescent="0.3">
      <c r="A648">
        <v>647</v>
      </c>
      <c r="B648" s="7">
        <v>9168074.2033740673</v>
      </c>
      <c r="C648">
        <f t="shared" si="10"/>
        <v>1</v>
      </c>
    </row>
    <row r="649" spans="1:3" x14ac:dyDescent="0.3">
      <c r="A649">
        <v>648</v>
      </c>
      <c r="B649" s="7">
        <v>4849154.669094868</v>
      </c>
      <c r="C649">
        <f t="shared" si="10"/>
        <v>1</v>
      </c>
    </row>
    <row r="650" spans="1:3" x14ac:dyDescent="0.3">
      <c r="A650">
        <v>649</v>
      </c>
      <c r="B650" s="7">
        <v>14587302.600948352</v>
      </c>
      <c r="C650">
        <f t="shared" si="10"/>
        <v>1</v>
      </c>
    </row>
    <row r="651" spans="1:3" x14ac:dyDescent="0.3">
      <c r="A651">
        <v>650</v>
      </c>
      <c r="B651" s="7">
        <v>8075963.9115297077</v>
      </c>
      <c r="C651">
        <f t="shared" si="10"/>
        <v>1</v>
      </c>
    </row>
    <row r="652" spans="1:3" x14ac:dyDescent="0.3">
      <c r="A652">
        <v>651</v>
      </c>
      <c r="B652" s="7">
        <v>10869549.328274887</v>
      </c>
      <c r="C652">
        <f t="shared" si="10"/>
        <v>1</v>
      </c>
    </row>
    <row r="653" spans="1:3" x14ac:dyDescent="0.3">
      <c r="A653">
        <v>652</v>
      </c>
      <c r="B653" s="7">
        <v>2541030.6023139646</v>
      </c>
      <c r="C653">
        <f t="shared" si="10"/>
        <v>1</v>
      </c>
    </row>
    <row r="654" spans="1:3" x14ac:dyDescent="0.3">
      <c r="A654">
        <v>653</v>
      </c>
      <c r="B654" s="7">
        <v>5766524.4495628811</v>
      </c>
      <c r="C654">
        <f t="shared" si="10"/>
        <v>1</v>
      </c>
    </row>
    <row r="655" spans="1:3" x14ac:dyDescent="0.3">
      <c r="A655">
        <v>654</v>
      </c>
      <c r="B655" s="7">
        <v>3110356.1521859104</v>
      </c>
      <c r="C655">
        <f t="shared" si="10"/>
        <v>1</v>
      </c>
    </row>
    <row r="656" spans="1:3" x14ac:dyDescent="0.3">
      <c r="A656">
        <v>655</v>
      </c>
      <c r="B656" s="7">
        <v>19509150.230352338</v>
      </c>
      <c r="C656">
        <f t="shared" si="10"/>
        <v>1</v>
      </c>
    </row>
    <row r="657" spans="1:3" x14ac:dyDescent="0.3">
      <c r="A657">
        <v>656</v>
      </c>
      <c r="B657" s="7">
        <v>2374735.9224442858</v>
      </c>
      <c r="C657">
        <f t="shared" si="10"/>
        <v>1</v>
      </c>
    </row>
    <row r="658" spans="1:3" x14ac:dyDescent="0.3">
      <c r="A658">
        <v>657</v>
      </c>
      <c r="B658" s="7">
        <v>4311193.8424744159</v>
      </c>
      <c r="C658">
        <f t="shared" si="10"/>
        <v>1</v>
      </c>
    </row>
    <row r="659" spans="1:3" x14ac:dyDescent="0.3">
      <c r="A659">
        <v>658</v>
      </c>
      <c r="B659" s="7">
        <v>14281226.808738198</v>
      </c>
      <c r="C659">
        <f t="shared" si="10"/>
        <v>1</v>
      </c>
    </row>
    <row r="660" spans="1:3" x14ac:dyDescent="0.3">
      <c r="A660">
        <v>659</v>
      </c>
      <c r="B660" s="7">
        <v>8989453.4104891457</v>
      </c>
      <c r="C660">
        <f t="shared" si="10"/>
        <v>1</v>
      </c>
    </row>
    <row r="661" spans="1:3" x14ac:dyDescent="0.3">
      <c r="A661">
        <v>660</v>
      </c>
      <c r="B661" s="7">
        <v>10000195.875436246</v>
      </c>
      <c r="C661">
        <f t="shared" si="10"/>
        <v>1</v>
      </c>
    </row>
    <row r="662" spans="1:3" x14ac:dyDescent="0.3">
      <c r="A662">
        <v>661</v>
      </c>
      <c r="B662" s="7">
        <v>11823329.162894197</v>
      </c>
      <c r="C662">
        <f t="shared" si="10"/>
        <v>1</v>
      </c>
    </row>
    <row r="663" spans="1:3" x14ac:dyDescent="0.3">
      <c r="A663">
        <v>662</v>
      </c>
      <c r="B663" s="7">
        <v>768338.51725955156</v>
      </c>
      <c r="C663">
        <f t="shared" si="10"/>
        <v>1</v>
      </c>
    </row>
    <row r="664" spans="1:3" x14ac:dyDescent="0.3">
      <c r="A664">
        <v>663</v>
      </c>
      <c r="B664" s="7">
        <v>6829610.2904779874</v>
      </c>
      <c r="C664">
        <f t="shared" si="10"/>
        <v>1</v>
      </c>
    </row>
    <row r="665" spans="1:3" x14ac:dyDescent="0.3">
      <c r="A665">
        <v>664</v>
      </c>
      <c r="B665" s="7">
        <v>2791653.1370728528</v>
      </c>
      <c r="C665">
        <f t="shared" si="10"/>
        <v>1</v>
      </c>
    </row>
    <row r="666" spans="1:3" x14ac:dyDescent="0.3">
      <c r="A666">
        <v>665</v>
      </c>
      <c r="B666" s="7">
        <v>863888.97723501222</v>
      </c>
      <c r="C666">
        <f t="shared" si="10"/>
        <v>1</v>
      </c>
    </row>
    <row r="667" spans="1:3" x14ac:dyDescent="0.3">
      <c r="A667">
        <v>666</v>
      </c>
      <c r="B667" s="7">
        <v>12122619.671750618</v>
      </c>
      <c r="C667">
        <f t="shared" si="10"/>
        <v>1</v>
      </c>
    </row>
    <row r="668" spans="1:3" x14ac:dyDescent="0.3">
      <c r="A668">
        <v>667</v>
      </c>
      <c r="B668" s="7">
        <v>2455804.4327190346</v>
      </c>
      <c r="C668">
        <f t="shared" si="10"/>
        <v>1</v>
      </c>
    </row>
    <row r="669" spans="1:3" x14ac:dyDescent="0.3">
      <c r="A669">
        <v>668</v>
      </c>
      <c r="B669" s="7">
        <v>1609292.3586212196</v>
      </c>
      <c r="C669">
        <f t="shared" si="10"/>
        <v>1</v>
      </c>
    </row>
    <row r="670" spans="1:3" x14ac:dyDescent="0.3">
      <c r="A670">
        <v>669</v>
      </c>
      <c r="B670" s="7">
        <v>4716001.0820007836</v>
      </c>
      <c r="C670">
        <f t="shared" si="10"/>
        <v>1</v>
      </c>
    </row>
    <row r="671" spans="1:3" x14ac:dyDescent="0.3">
      <c r="A671">
        <v>670</v>
      </c>
      <c r="B671" s="7">
        <v>23400147.658066072</v>
      </c>
      <c r="C671">
        <f t="shared" si="10"/>
        <v>1</v>
      </c>
    </row>
    <row r="672" spans="1:3" x14ac:dyDescent="0.3">
      <c r="A672">
        <v>671</v>
      </c>
      <c r="B672" s="7">
        <v>17892939.630441744</v>
      </c>
      <c r="C672">
        <f t="shared" si="10"/>
        <v>1</v>
      </c>
    </row>
    <row r="673" spans="1:3" x14ac:dyDescent="0.3">
      <c r="A673">
        <v>672</v>
      </c>
      <c r="B673" s="7">
        <v>4142287.448945045</v>
      </c>
      <c r="C673">
        <f t="shared" si="10"/>
        <v>1</v>
      </c>
    </row>
    <row r="674" spans="1:3" x14ac:dyDescent="0.3">
      <c r="A674">
        <v>673</v>
      </c>
      <c r="B674" s="7">
        <v>4582000.820195592</v>
      </c>
      <c r="C674">
        <f t="shared" si="10"/>
        <v>1</v>
      </c>
    </row>
    <row r="675" spans="1:3" x14ac:dyDescent="0.3">
      <c r="A675">
        <v>674</v>
      </c>
      <c r="B675" s="7">
        <v>6999567.4672536273</v>
      </c>
      <c r="C675">
        <f t="shared" si="10"/>
        <v>1</v>
      </c>
    </row>
    <row r="676" spans="1:3" x14ac:dyDescent="0.3">
      <c r="A676">
        <v>675</v>
      </c>
      <c r="B676" s="7">
        <v>1823828.3224288614</v>
      </c>
      <c r="C676">
        <f t="shared" si="10"/>
        <v>1</v>
      </c>
    </row>
    <row r="677" spans="1:3" x14ac:dyDescent="0.3">
      <c r="A677">
        <v>676</v>
      </c>
      <c r="B677" s="7">
        <v>8590718.1535525154</v>
      </c>
      <c r="C677">
        <f t="shared" si="10"/>
        <v>1</v>
      </c>
    </row>
    <row r="678" spans="1:3" x14ac:dyDescent="0.3">
      <c r="A678">
        <v>677</v>
      </c>
      <c r="B678" s="7">
        <v>17799099.343041539</v>
      </c>
      <c r="C678">
        <f t="shared" si="10"/>
        <v>1</v>
      </c>
    </row>
    <row r="679" spans="1:3" x14ac:dyDescent="0.3">
      <c r="A679">
        <v>678</v>
      </c>
      <c r="B679" s="7">
        <v>5318094.5039979657</v>
      </c>
      <c r="C679">
        <f t="shared" si="10"/>
        <v>1</v>
      </c>
    </row>
    <row r="680" spans="1:3" x14ac:dyDescent="0.3">
      <c r="A680">
        <v>679</v>
      </c>
      <c r="B680" s="7">
        <v>1363837.1350908615</v>
      </c>
      <c r="C680">
        <f t="shared" si="10"/>
        <v>1</v>
      </c>
    </row>
    <row r="681" spans="1:3" x14ac:dyDescent="0.3">
      <c r="A681">
        <v>680</v>
      </c>
      <c r="B681" s="7">
        <v>11423338.476971444</v>
      </c>
      <c r="C681">
        <f t="shared" si="10"/>
        <v>1</v>
      </c>
    </row>
    <row r="682" spans="1:3" x14ac:dyDescent="0.3">
      <c r="A682">
        <v>681</v>
      </c>
      <c r="B682" s="7">
        <v>1065528.967183619</v>
      </c>
      <c r="C682">
        <f t="shared" si="10"/>
        <v>1</v>
      </c>
    </row>
    <row r="683" spans="1:3" x14ac:dyDescent="0.3">
      <c r="A683">
        <v>682</v>
      </c>
      <c r="B683" s="7">
        <v>6609319.4413019</v>
      </c>
      <c r="C683">
        <f t="shared" si="10"/>
        <v>1</v>
      </c>
    </row>
    <row r="684" spans="1:3" x14ac:dyDescent="0.3">
      <c r="A684">
        <v>683</v>
      </c>
      <c r="B684" s="7">
        <v>7021118.1921741609</v>
      </c>
      <c r="C684">
        <f t="shared" si="10"/>
        <v>1</v>
      </c>
    </row>
    <row r="685" spans="1:3" x14ac:dyDescent="0.3">
      <c r="A685">
        <v>684</v>
      </c>
      <c r="B685" s="7">
        <v>5892495.8618274061</v>
      </c>
      <c r="C685">
        <f t="shared" si="10"/>
        <v>1</v>
      </c>
    </row>
    <row r="686" spans="1:3" x14ac:dyDescent="0.3">
      <c r="A686">
        <v>685</v>
      </c>
      <c r="B686" s="7">
        <v>3492827.236255486</v>
      </c>
      <c r="C686">
        <f t="shared" si="10"/>
        <v>1</v>
      </c>
    </row>
    <row r="687" spans="1:3" x14ac:dyDescent="0.3">
      <c r="A687">
        <v>686</v>
      </c>
      <c r="B687" s="7">
        <v>1662465.8024574388</v>
      </c>
      <c r="C687">
        <f t="shared" si="10"/>
        <v>1</v>
      </c>
    </row>
    <row r="688" spans="1:3" x14ac:dyDescent="0.3">
      <c r="A688">
        <v>687</v>
      </c>
      <c r="B688" s="7">
        <v>4008767.2243079152</v>
      </c>
      <c r="C688">
        <f t="shared" si="10"/>
        <v>1</v>
      </c>
    </row>
    <row r="689" spans="1:3" x14ac:dyDescent="0.3">
      <c r="A689">
        <v>688</v>
      </c>
      <c r="B689" s="7">
        <v>11214771.311961256</v>
      </c>
      <c r="C689">
        <f t="shared" si="10"/>
        <v>1</v>
      </c>
    </row>
    <row r="690" spans="1:3" x14ac:dyDescent="0.3">
      <c r="A690">
        <v>689</v>
      </c>
      <c r="B690" s="7">
        <v>9773803.8210693486</v>
      </c>
      <c r="C690">
        <f t="shared" si="10"/>
        <v>1</v>
      </c>
    </row>
    <row r="691" spans="1:3" x14ac:dyDescent="0.3">
      <c r="A691">
        <v>690</v>
      </c>
      <c r="B691" s="7">
        <v>9670466.4721626844</v>
      </c>
      <c r="C691">
        <f t="shared" si="10"/>
        <v>1</v>
      </c>
    </row>
    <row r="692" spans="1:3" x14ac:dyDescent="0.3">
      <c r="A692">
        <v>691</v>
      </c>
      <c r="B692" s="7">
        <v>994019.65934015391</v>
      </c>
      <c r="C692">
        <f t="shared" si="10"/>
        <v>1</v>
      </c>
    </row>
    <row r="693" spans="1:3" x14ac:dyDescent="0.3">
      <c r="A693">
        <v>692</v>
      </c>
      <c r="B693" s="7">
        <v>9029721.5362007748</v>
      </c>
      <c r="C693">
        <f t="shared" si="10"/>
        <v>1</v>
      </c>
    </row>
    <row r="694" spans="1:3" x14ac:dyDescent="0.3">
      <c r="A694">
        <v>693</v>
      </c>
      <c r="B694" s="7">
        <v>2000901.1682552833</v>
      </c>
      <c r="C694">
        <f t="shared" si="10"/>
        <v>1</v>
      </c>
    </row>
    <row r="695" spans="1:3" x14ac:dyDescent="0.3">
      <c r="A695">
        <v>694</v>
      </c>
      <c r="B695" s="7">
        <v>5877548.0818790626</v>
      </c>
      <c r="C695">
        <f t="shared" si="10"/>
        <v>1</v>
      </c>
    </row>
    <row r="696" spans="1:3" x14ac:dyDescent="0.3">
      <c r="A696">
        <v>695</v>
      </c>
      <c r="B696" s="7">
        <v>18323264.903981373</v>
      </c>
      <c r="C696">
        <f t="shared" si="10"/>
        <v>1</v>
      </c>
    </row>
    <row r="697" spans="1:3" x14ac:dyDescent="0.3">
      <c r="A697">
        <v>696</v>
      </c>
      <c r="B697" s="7">
        <v>1650525.9781440061</v>
      </c>
      <c r="C697">
        <f t="shared" si="10"/>
        <v>1</v>
      </c>
    </row>
    <row r="698" spans="1:3" x14ac:dyDescent="0.3">
      <c r="A698">
        <v>697</v>
      </c>
      <c r="B698" s="7">
        <v>5058291.5269281995</v>
      </c>
      <c r="C698">
        <f t="shared" si="10"/>
        <v>1</v>
      </c>
    </row>
    <row r="699" spans="1:3" x14ac:dyDescent="0.3">
      <c r="A699">
        <v>698</v>
      </c>
      <c r="B699" s="7">
        <v>4265687.1992421541</v>
      </c>
      <c r="C699">
        <f t="shared" si="10"/>
        <v>1</v>
      </c>
    </row>
    <row r="700" spans="1:3" x14ac:dyDescent="0.3">
      <c r="A700">
        <v>699</v>
      </c>
      <c r="B700" s="7">
        <v>4695568.4414687483</v>
      </c>
      <c r="C700">
        <f t="shared" si="10"/>
        <v>1</v>
      </c>
    </row>
    <row r="701" spans="1:3" x14ac:dyDescent="0.3">
      <c r="A701">
        <v>700</v>
      </c>
      <c r="B701" s="7">
        <v>2191201.320683457</v>
      </c>
      <c r="C701">
        <f t="shared" si="10"/>
        <v>1</v>
      </c>
    </row>
    <row r="702" spans="1:3" x14ac:dyDescent="0.3">
      <c r="A702">
        <v>701</v>
      </c>
      <c r="B702" s="7">
        <v>5020999.5219640033</v>
      </c>
      <c r="C702">
        <f t="shared" si="10"/>
        <v>1</v>
      </c>
    </row>
    <row r="703" spans="1:3" x14ac:dyDescent="0.3">
      <c r="A703">
        <v>702</v>
      </c>
      <c r="B703" s="7">
        <v>336912.30903680093</v>
      </c>
      <c r="C703">
        <f t="shared" si="10"/>
        <v>1</v>
      </c>
    </row>
    <row r="704" spans="1:3" x14ac:dyDescent="0.3">
      <c r="A704">
        <v>703</v>
      </c>
      <c r="B704" s="7">
        <v>6834156.1951902062</v>
      </c>
      <c r="C704">
        <f t="shared" si="10"/>
        <v>1</v>
      </c>
    </row>
    <row r="705" spans="1:3" x14ac:dyDescent="0.3">
      <c r="A705">
        <v>704</v>
      </c>
      <c r="B705" s="7">
        <v>6128329.771594814</v>
      </c>
      <c r="C705">
        <f t="shared" si="10"/>
        <v>1</v>
      </c>
    </row>
    <row r="706" spans="1:3" x14ac:dyDescent="0.3">
      <c r="A706">
        <v>705</v>
      </c>
      <c r="B706" s="7">
        <v>9280802.5154746603</v>
      </c>
      <c r="C706">
        <f t="shared" si="10"/>
        <v>1</v>
      </c>
    </row>
    <row r="707" spans="1:3" x14ac:dyDescent="0.3">
      <c r="A707">
        <v>706</v>
      </c>
      <c r="B707" s="7">
        <v>20188848.179648176</v>
      </c>
      <c r="C707">
        <f t="shared" ref="C707:C770" si="11">IF(B707=0,0,1)</f>
        <v>1</v>
      </c>
    </row>
    <row r="708" spans="1:3" x14ac:dyDescent="0.3">
      <c r="A708">
        <v>707</v>
      </c>
      <c r="B708" s="7">
        <v>3250729.3235005182</v>
      </c>
      <c r="C708">
        <f t="shared" si="11"/>
        <v>1</v>
      </c>
    </row>
    <row r="709" spans="1:3" x14ac:dyDescent="0.3">
      <c r="A709">
        <v>708</v>
      </c>
      <c r="B709" s="7">
        <v>5796580.690577507</v>
      </c>
      <c r="C709">
        <f t="shared" si="11"/>
        <v>1</v>
      </c>
    </row>
    <row r="710" spans="1:3" x14ac:dyDescent="0.3">
      <c r="A710">
        <v>709</v>
      </c>
      <c r="B710" s="7">
        <v>3307227.4060304402</v>
      </c>
      <c r="C710">
        <f t="shared" si="11"/>
        <v>1</v>
      </c>
    </row>
    <row r="711" spans="1:3" x14ac:dyDescent="0.3">
      <c r="A711">
        <v>710</v>
      </c>
      <c r="B711" s="7">
        <v>4757851.684468234</v>
      </c>
      <c r="C711">
        <f t="shared" si="11"/>
        <v>1</v>
      </c>
    </row>
    <row r="712" spans="1:3" x14ac:dyDescent="0.3">
      <c r="A712">
        <v>711</v>
      </c>
      <c r="B712" s="7">
        <v>11960535.418608289</v>
      </c>
      <c r="C712">
        <f t="shared" si="11"/>
        <v>1</v>
      </c>
    </row>
    <row r="713" spans="1:3" x14ac:dyDescent="0.3">
      <c r="A713">
        <v>712</v>
      </c>
      <c r="B713" s="7">
        <v>2159631.6649084184</v>
      </c>
      <c r="C713">
        <f t="shared" si="11"/>
        <v>1</v>
      </c>
    </row>
    <row r="714" spans="1:3" x14ac:dyDescent="0.3">
      <c r="A714">
        <v>713</v>
      </c>
      <c r="B714" s="7">
        <v>20773156.762330201</v>
      </c>
      <c r="C714">
        <f t="shared" si="11"/>
        <v>1</v>
      </c>
    </row>
    <row r="715" spans="1:3" x14ac:dyDescent="0.3">
      <c r="A715">
        <v>714</v>
      </c>
      <c r="B715" s="7">
        <v>8362549.1782611487</v>
      </c>
      <c r="C715">
        <f t="shared" si="11"/>
        <v>1</v>
      </c>
    </row>
    <row r="716" spans="1:3" x14ac:dyDescent="0.3">
      <c r="A716">
        <v>715</v>
      </c>
      <c r="B716" s="7">
        <v>8565951.0385867842</v>
      </c>
      <c r="C716">
        <f t="shared" si="11"/>
        <v>1</v>
      </c>
    </row>
    <row r="717" spans="1:3" x14ac:dyDescent="0.3">
      <c r="A717">
        <v>716</v>
      </c>
      <c r="B717" s="7">
        <v>6448849.4463180723</v>
      </c>
      <c r="C717">
        <f t="shared" si="11"/>
        <v>1</v>
      </c>
    </row>
    <row r="718" spans="1:3" x14ac:dyDescent="0.3">
      <c r="A718">
        <v>717</v>
      </c>
      <c r="B718" s="7">
        <v>938155.70444956515</v>
      </c>
      <c r="C718">
        <f t="shared" si="11"/>
        <v>1</v>
      </c>
    </row>
    <row r="719" spans="1:3" x14ac:dyDescent="0.3">
      <c r="A719">
        <v>718</v>
      </c>
      <c r="B719" s="7">
        <v>17876847.180241216</v>
      </c>
      <c r="C719">
        <f t="shared" si="11"/>
        <v>1</v>
      </c>
    </row>
    <row r="720" spans="1:3" x14ac:dyDescent="0.3">
      <c r="A720">
        <v>719</v>
      </c>
      <c r="B720" s="7">
        <v>9198137.8571680933</v>
      </c>
      <c r="C720">
        <f t="shared" si="11"/>
        <v>1</v>
      </c>
    </row>
    <row r="721" spans="1:3" x14ac:dyDescent="0.3">
      <c r="A721">
        <v>720</v>
      </c>
      <c r="B721" s="7">
        <v>15297363.741772955</v>
      </c>
      <c r="C721">
        <f t="shared" si="11"/>
        <v>1</v>
      </c>
    </row>
    <row r="722" spans="1:3" x14ac:dyDescent="0.3">
      <c r="A722">
        <v>721</v>
      </c>
      <c r="B722" s="7">
        <v>826509.15087235393</v>
      </c>
      <c r="C722">
        <f t="shared" si="11"/>
        <v>1</v>
      </c>
    </row>
    <row r="723" spans="1:3" x14ac:dyDescent="0.3">
      <c r="A723">
        <v>722</v>
      </c>
      <c r="B723" s="7">
        <v>1907979.4221373841</v>
      </c>
      <c r="C723">
        <f t="shared" si="11"/>
        <v>1</v>
      </c>
    </row>
    <row r="724" spans="1:3" x14ac:dyDescent="0.3">
      <c r="A724">
        <v>723</v>
      </c>
      <c r="B724" s="7">
        <v>1301004.3156741757</v>
      </c>
      <c r="C724">
        <f t="shared" si="11"/>
        <v>1</v>
      </c>
    </row>
    <row r="725" spans="1:3" x14ac:dyDescent="0.3">
      <c r="A725">
        <v>724</v>
      </c>
      <c r="B725" s="7">
        <v>6853755.3096176777</v>
      </c>
      <c r="C725">
        <f t="shared" si="11"/>
        <v>1</v>
      </c>
    </row>
    <row r="726" spans="1:3" x14ac:dyDescent="0.3">
      <c r="A726">
        <v>725</v>
      </c>
      <c r="B726" s="7">
        <v>3854724.176871344</v>
      </c>
      <c r="C726">
        <f t="shared" si="11"/>
        <v>1</v>
      </c>
    </row>
    <row r="727" spans="1:3" x14ac:dyDescent="0.3">
      <c r="A727">
        <v>726</v>
      </c>
      <c r="B727" s="7">
        <v>9337270.0418091752</v>
      </c>
      <c r="C727">
        <f t="shared" si="11"/>
        <v>1</v>
      </c>
    </row>
    <row r="728" spans="1:3" x14ac:dyDescent="0.3">
      <c r="A728">
        <v>727</v>
      </c>
      <c r="B728" s="7">
        <v>12504046.336420853</v>
      </c>
      <c r="C728">
        <f t="shared" si="11"/>
        <v>1</v>
      </c>
    </row>
    <row r="729" spans="1:3" x14ac:dyDescent="0.3">
      <c r="A729">
        <v>728</v>
      </c>
      <c r="B729" s="7">
        <v>3620565.8421846544</v>
      </c>
      <c r="C729">
        <f t="shared" si="11"/>
        <v>1</v>
      </c>
    </row>
    <row r="730" spans="1:3" x14ac:dyDescent="0.3">
      <c r="A730">
        <v>729</v>
      </c>
      <c r="B730" s="7">
        <v>6696908.9948009467</v>
      </c>
      <c r="C730">
        <f t="shared" si="11"/>
        <v>1</v>
      </c>
    </row>
    <row r="731" spans="1:3" x14ac:dyDescent="0.3">
      <c r="A731">
        <v>730</v>
      </c>
      <c r="B731" s="7">
        <v>4390366.2241514912</v>
      </c>
      <c r="C731">
        <f t="shared" si="11"/>
        <v>1</v>
      </c>
    </row>
    <row r="732" spans="1:3" x14ac:dyDescent="0.3">
      <c r="A732">
        <v>731</v>
      </c>
      <c r="B732" s="7">
        <v>3268425.9916421995</v>
      </c>
      <c r="C732">
        <f t="shared" si="11"/>
        <v>1</v>
      </c>
    </row>
    <row r="733" spans="1:3" x14ac:dyDescent="0.3">
      <c r="A733">
        <v>732</v>
      </c>
      <c r="B733" s="7">
        <v>3036963.9320423915</v>
      </c>
      <c r="C733">
        <f t="shared" si="11"/>
        <v>1</v>
      </c>
    </row>
    <row r="734" spans="1:3" x14ac:dyDescent="0.3">
      <c r="A734">
        <v>733</v>
      </c>
      <c r="B734" s="7">
        <v>7600871.7155686133</v>
      </c>
      <c r="C734">
        <f t="shared" si="11"/>
        <v>1</v>
      </c>
    </row>
    <row r="735" spans="1:3" x14ac:dyDescent="0.3">
      <c r="A735">
        <v>734</v>
      </c>
      <c r="B735" s="7">
        <v>6526358.3625104902</v>
      </c>
      <c r="C735">
        <f t="shared" si="11"/>
        <v>1</v>
      </c>
    </row>
    <row r="736" spans="1:3" x14ac:dyDescent="0.3">
      <c r="A736">
        <v>735</v>
      </c>
      <c r="B736" s="7">
        <v>298558.04538322194</v>
      </c>
      <c r="C736">
        <f t="shared" si="11"/>
        <v>1</v>
      </c>
    </row>
    <row r="737" spans="1:3" x14ac:dyDescent="0.3">
      <c r="A737">
        <v>736</v>
      </c>
      <c r="B737" s="7">
        <v>1215062.5213528287</v>
      </c>
      <c r="C737">
        <f t="shared" si="11"/>
        <v>1</v>
      </c>
    </row>
    <row r="738" spans="1:3" x14ac:dyDescent="0.3">
      <c r="A738">
        <v>737</v>
      </c>
      <c r="B738" s="7">
        <v>13541009.440821238</v>
      </c>
      <c r="C738">
        <f t="shared" si="11"/>
        <v>1</v>
      </c>
    </row>
    <row r="739" spans="1:3" x14ac:dyDescent="0.3">
      <c r="A739">
        <v>738</v>
      </c>
      <c r="B739" s="7">
        <v>3946567.6582318046</v>
      </c>
      <c r="C739">
        <f t="shared" si="11"/>
        <v>1</v>
      </c>
    </row>
    <row r="740" spans="1:3" x14ac:dyDescent="0.3">
      <c r="A740">
        <v>739</v>
      </c>
      <c r="B740" s="7">
        <v>9656126.8627234567</v>
      </c>
      <c r="C740">
        <f t="shared" si="11"/>
        <v>1</v>
      </c>
    </row>
    <row r="741" spans="1:3" x14ac:dyDescent="0.3">
      <c r="A741">
        <v>740</v>
      </c>
      <c r="B741" s="7">
        <v>2852158.8172250767</v>
      </c>
      <c r="C741">
        <f t="shared" si="11"/>
        <v>1</v>
      </c>
    </row>
    <row r="742" spans="1:3" x14ac:dyDescent="0.3">
      <c r="A742">
        <v>741</v>
      </c>
      <c r="B742" s="7">
        <v>3018006.2991098315</v>
      </c>
      <c r="C742">
        <f t="shared" si="11"/>
        <v>1</v>
      </c>
    </row>
    <row r="743" spans="1:3" x14ac:dyDescent="0.3">
      <c r="A743">
        <v>742</v>
      </c>
      <c r="B743" s="7">
        <v>1422787.9919517741</v>
      </c>
      <c r="C743">
        <f t="shared" si="11"/>
        <v>1</v>
      </c>
    </row>
    <row r="744" spans="1:3" x14ac:dyDescent="0.3">
      <c r="A744">
        <v>743</v>
      </c>
      <c r="B744" s="7">
        <v>1801539.3233111182</v>
      </c>
      <c r="C744">
        <f t="shared" si="11"/>
        <v>1</v>
      </c>
    </row>
    <row r="745" spans="1:3" x14ac:dyDescent="0.3">
      <c r="A745">
        <v>744</v>
      </c>
      <c r="B745" s="7">
        <v>15949191.282974275</v>
      </c>
      <c r="C745">
        <f t="shared" si="11"/>
        <v>1</v>
      </c>
    </row>
    <row r="746" spans="1:3" x14ac:dyDescent="0.3">
      <c r="A746">
        <v>745</v>
      </c>
      <c r="B746" s="7">
        <v>2170606.8356767804</v>
      </c>
      <c r="C746">
        <f t="shared" si="11"/>
        <v>1</v>
      </c>
    </row>
    <row r="747" spans="1:3" x14ac:dyDescent="0.3">
      <c r="A747">
        <v>746</v>
      </c>
      <c r="B747" s="7">
        <v>3129680.9456650866</v>
      </c>
      <c r="C747">
        <f t="shared" si="11"/>
        <v>1</v>
      </c>
    </row>
    <row r="748" spans="1:3" x14ac:dyDescent="0.3">
      <c r="A748">
        <v>747</v>
      </c>
      <c r="B748" s="7">
        <v>3438942.6238460825</v>
      </c>
      <c r="C748">
        <f t="shared" si="11"/>
        <v>1</v>
      </c>
    </row>
    <row r="749" spans="1:3" x14ac:dyDescent="0.3">
      <c r="A749">
        <v>748</v>
      </c>
      <c r="B749" s="7">
        <v>2944108.1564832469</v>
      </c>
      <c r="C749">
        <f t="shared" si="11"/>
        <v>1</v>
      </c>
    </row>
    <row r="750" spans="1:3" x14ac:dyDescent="0.3">
      <c r="A750">
        <v>749</v>
      </c>
      <c r="B750" s="7">
        <v>12188397.138795422</v>
      </c>
      <c r="C750">
        <f t="shared" si="11"/>
        <v>1</v>
      </c>
    </row>
    <row r="751" spans="1:3" x14ac:dyDescent="0.3">
      <c r="A751">
        <v>750</v>
      </c>
      <c r="B751" s="7">
        <v>3045178.5736094126</v>
      </c>
      <c r="C751">
        <f t="shared" si="11"/>
        <v>1</v>
      </c>
    </row>
    <row r="752" spans="1:3" x14ac:dyDescent="0.3">
      <c r="A752">
        <v>751</v>
      </c>
      <c r="B752" s="7">
        <v>6496292.5509883696</v>
      </c>
      <c r="C752">
        <f t="shared" si="11"/>
        <v>1</v>
      </c>
    </row>
    <row r="753" spans="1:3" x14ac:dyDescent="0.3">
      <c r="A753">
        <v>752</v>
      </c>
      <c r="B753" s="7">
        <v>7494334.8026738632</v>
      </c>
      <c r="C753">
        <f t="shared" si="11"/>
        <v>1</v>
      </c>
    </row>
    <row r="754" spans="1:3" x14ac:dyDescent="0.3">
      <c r="A754">
        <v>753</v>
      </c>
      <c r="B754" s="7">
        <v>3249934.1963117011</v>
      </c>
      <c r="C754">
        <f t="shared" si="11"/>
        <v>1</v>
      </c>
    </row>
    <row r="755" spans="1:3" x14ac:dyDescent="0.3">
      <c r="A755">
        <v>754</v>
      </c>
      <c r="B755" s="7">
        <v>15728361.27941248</v>
      </c>
      <c r="C755">
        <f t="shared" si="11"/>
        <v>1</v>
      </c>
    </row>
    <row r="756" spans="1:3" x14ac:dyDescent="0.3">
      <c r="A756">
        <v>755</v>
      </c>
      <c r="B756" s="7">
        <v>15506334.548221042</v>
      </c>
      <c r="C756">
        <f t="shared" si="11"/>
        <v>1</v>
      </c>
    </row>
    <row r="757" spans="1:3" x14ac:dyDescent="0.3">
      <c r="A757">
        <v>756</v>
      </c>
      <c r="B757" s="7">
        <v>11347028.846016502</v>
      </c>
      <c r="C757">
        <f t="shared" si="11"/>
        <v>1</v>
      </c>
    </row>
    <row r="758" spans="1:3" x14ac:dyDescent="0.3">
      <c r="A758">
        <v>757</v>
      </c>
      <c r="B758" s="7">
        <v>4890461.8541564755</v>
      </c>
      <c r="C758">
        <f t="shared" si="11"/>
        <v>1</v>
      </c>
    </row>
    <row r="759" spans="1:3" x14ac:dyDescent="0.3">
      <c r="A759">
        <v>758</v>
      </c>
      <c r="B759" s="7">
        <v>4052890.6366101401</v>
      </c>
      <c r="C759">
        <f t="shared" si="11"/>
        <v>1</v>
      </c>
    </row>
    <row r="760" spans="1:3" x14ac:dyDescent="0.3">
      <c r="A760">
        <v>759</v>
      </c>
      <c r="B760" s="7">
        <v>17781464.786108453</v>
      </c>
      <c r="C760">
        <f t="shared" si="11"/>
        <v>1</v>
      </c>
    </row>
    <row r="761" spans="1:3" x14ac:dyDescent="0.3">
      <c r="A761">
        <v>760</v>
      </c>
      <c r="B761" s="7">
        <v>4915033.4163434673</v>
      </c>
      <c r="C761">
        <f t="shared" si="11"/>
        <v>1</v>
      </c>
    </row>
    <row r="762" spans="1:3" x14ac:dyDescent="0.3">
      <c r="A762">
        <v>761</v>
      </c>
      <c r="B762" s="7">
        <v>7512790.4228523681</v>
      </c>
      <c r="C762">
        <f t="shared" si="11"/>
        <v>1</v>
      </c>
    </row>
    <row r="763" spans="1:3" x14ac:dyDescent="0.3">
      <c r="A763">
        <v>762</v>
      </c>
      <c r="B763" s="7">
        <v>1597548.2602970311</v>
      </c>
      <c r="C763">
        <f t="shared" si="11"/>
        <v>1</v>
      </c>
    </row>
    <row r="764" spans="1:3" x14ac:dyDescent="0.3">
      <c r="A764">
        <v>763</v>
      </c>
      <c r="B764" s="7">
        <v>4554672.8031683909</v>
      </c>
      <c r="C764">
        <f t="shared" si="11"/>
        <v>1</v>
      </c>
    </row>
    <row r="765" spans="1:3" x14ac:dyDescent="0.3">
      <c r="A765">
        <v>764</v>
      </c>
      <c r="B765" s="7">
        <v>8151064.2172737289</v>
      </c>
      <c r="C765">
        <f t="shared" si="11"/>
        <v>1</v>
      </c>
    </row>
    <row r="766" spans="1:3" x14ac:dyDescent="0.3">
      <c r="A766">
        <v>765</v>
      </c>
      <c r="B766" s="7">
        <v>1919960.5117989429</v>
      </c>
      <c r="C766">
        <f t="shared" si="11"/>
        <v>1</v>
      </c>
    </row>
    <row r="767" spans="1:3" x14ac:dyDescent="0.3">
      <c r="A767">
        <v>766</v>
      </c>
      <c r="B767" s="7">
        <v>1612592.9691713061</v>
      </c>
      <c r="C767">
        <f t="shared" si="11"/>
        <v>1</v>
      </c>
    </row>
    <row r="768" spans="1:3" x14ac:dyDescent="0.3">
      <c r="A768">
        <v>767</v>
      </c>
      <c r="B768" s="7">
        <v>5147805.1852420177</v>
      </c>
      <c r="C768">
        <f t="shared" si="11"/>
        <v>1</v>
      </c>
    </row>
    <row r="769" spans="1:3" x14ac:dyDescent="0.3">
      <c r="A769">
        <v>768</v>
      </c>
      <c r="B769" s="7">
        <v>4876366.9853596445</v>
      </c>
      <c r="C769">
        <f t="shared" si="11"/>
        <v>1</v>
      </c>
    </row>
    <row r="770" spans="1:3" x14ac:dyDescent="0.3">
      <c r="A770">
        <v>769</v>
      </c>
      <c r="B770" s="7">
        <v>17402806.225215558</v>
      </c>
      <c r="C770">
        <f t="shared" si="11"/>
        <v>1</v>
      </c>
    </row>
    <row r="771" spans="1:3" x14ac:dyDescent="0.3">
      <c r="A771">
        <v>770</v>
      </c>
      <c r="B771" s="7">
        <v>36543638.232050978</v>
      </c>
      <c r="C771">
        <f t="shared" ref="C771:C834" si="12">IF(B771=0,0,1)</f>
        <v>1</v>
      </c>
    </row>
    <row r="772" spans="1:3" x14ac:dyDescent="0.3">
      <c r="A772">
        <v>771</v>
      </c>
      <c r="B772" s="7">
        <v>3769638.8128820434</v>
      </c>
      <c r="C772">
        <f t="shared" si="12"/>
        <v>1</v>
      </c>
    </row>
    <row r="773" spans="1:3" x14ac:dyDescent="0.3">
      <c r="A773">
        <v>772</v>
      </c>
      <c r="B773" s="7">
        <v>6540965.7685370203</v>
      </c>
      <c r="C773">
        <f t="shared" si="12"/>
        <v>1</v>
      </c>
    </row>
    <row r="774" spans="1:3" x14ac:dyDescent="0.3">
      <c r="A774">
        <v>773</v>
      </c>
      <c r="B774" s="7">
        <v>1528121.4652305571</v>
      </c>
      <c r="C774">
        <f t="shared" si="12"/>
        <v>1</v>
      </c>
    </row>
    <row r="775" spans="1:3" x14ac:dyDescent="0.3">
      <c r="A775">
        <v>774</v>
      </c>
      <c r="B775" s="7">
        <v>1395571.7506850141</v>
      </c>
      <c r="C775">
        <f t="shared" si="12"/>
        <v>1</v>
      </c>
    </row>
    <row r="776" spans="1:3" x14ac:dyDescent="0.3">
      <c r="A776">
        <v>775</v>
      </c>
      <c r="B776" s="7">
        <v>6137576.0444190055</v>
      </c>
      <c r="C776">
        <f t="shared" si="12"/>
        <v>1</v>
      </c>
    </row>
    <row r="777" spans="1:3" x14ac:dyDescent="0.3">
      <c r="A777">
        <v>776</v>
      </c>
      <c r="B777" s="7">
        <v>16243817.102105398</v>
      </c>
      <c r="C777">
        <f t="shared" si="12"/>
        <v>1</v>
      </c>
    </row>
    <row r="778" spans="1:3" x14ac:dyDescent="0.3">
      <c r="A778">
        <v>777</v>
      </c>
      <c r="B778" s="7">
        <v>2342990.7811339516</v>
      </c>
      <c r="C778">
        <f t="shared" si="12"/>
        <v>1</v>
      </c>
    </row>
    <row r="779" spans="1:3" x14ac:dyDescent="0.3">
      <c r="A779">
        <v>778</v>
      </c>
      <c r="B779" s="7">
        <v>10884336.229318311</v>
      </c>
      <c r="C779">
        <f t="shared" si="12"/>
        <v>1</v>
      </c>
    </row>
    <row r="780" spans="1:3" x14ac:dyDescent="0.3">
      <c r="A780">
        <v>779</v>
      </c>
      <c r="B780" s="7">
        <v>3953399.7736389525</v>
      </c>
      <c r="C780">
        <f t="shared" si="12"/>
        <v>1</v>
      </c>
    </row>
    <row r="781" spans="1:3" x14ac:dyDescent="0.3">
      <c r="A781">
        <v>780</v>
      </c>
      <c r="B781" s="7">
        <v>7150283.8592276433</v>
      </c>
      <c r="C781">
        <f t="shared" si="12"/>
        <v>1</v>
      </c>
    </row>
    <row r="782" spans="1:3" x14ac:dyDescent="0.3">
      <c r="A782">
        <v>781</v>
      </c>
      <c r="B782" s="7">
        <v>5633198.2954927329</v>
      </c>
      <c r="C782">
        <f t="shared" si="12"/>
        <v>1</v>
      </c>
    </row>
    <row r="783" spans="1:3" x14ac:dyDescent="0.3">
      <c r="A783">
        <v>782</v>
      </c>
      <c r="B783" s="7">
        <v>4533783.3453572271</v>
      </c>
      <c r="C783">
        <f t="shared" si="12"/>
        <v>1</v>
      </c>
    </row>
    <row r="784" spans="1:3" x14ac:dyDescent="0.3">
      <c r="A784">
        <v>783</v>
      </c>
      <c r="B784" s="7">
        <v>1674049.5399450697</v>
      </c>
      <c r="C784">
        <f t="shared" si="12"/>
        <v>1</v>
      </c>
    </row>
    <row r="785" spans="1:3" x14ac:dyDescent="0.3">
      <c r="A785">
        <v>784</v>
      </c>
      <c r="B785" s="7">
        <v>3555585.7371565835</v>
      </c>
      <c r="C785">
        <f t="shared" si="12"/>
        <v>1</v>
      </c>
    </row>
    <row r="786" spans="1:3" x14ac:dyDescent="0.3">
      <c r="A786">
        <v>785</v>
      </c>
      <c r="B786" s="7">
        <v>1619099.0251695798</v>
      </c>
      <c r="C786">
        <f t="shared" si="12"/>
        <v>1</v>
      </c>
    </row>
    <row r="787" spans="1:3" x14ac:dyDescent="0.3">
      <c r="A787">
        <v>786</v>
      </c>
      <c r="B787" s="7">
        <v>2018385.7670134762</v>
      </c>
      <c r="C787">
        <f t="shared" si="12"/>
        <v>1</v>
      </c>
    </row>
    <row r="788" spans="1:3" x14ac:dyDescent="0.3">
      <c r="A788">
        <v>787</v>
      </c>
      <c r="B788" s="7">
        <v>2184318.4509082534</v>
      </c>
      <c r="C788">
        <f t="shared" si="12"/>
        <v>1</v>
      </c>
    </row>
    <row r="789" spans="1:3" x14ac:dyDescent="0.3">
      <c r="A789">
        <v>788</v>
      </c>
      <c r="B789" s="7">
        <v>13795199.214605048</v>
      </c>
      <c r="C789">
        <f t="shared" si="12"/>
        <v>1</v>
      </c>
    </row>
    <row r="790" spans="1:3" x14ac:dyDescent="0.3">
      <c r="A790">
        <v>789</v>
      </c>
      <c r="B790" s="7">
        <v>2730840.7955077435</v>
      </c>
      <c r="C790">
        <f t="shared" si="12"/>
        <v>1</v>
      </c>
    </row>
    <row r="791" spans="1:3" x14ac:dyDescent="0.3">
      <c r="A791">
        <v>790</v>
      </c>
      <c r="B791" s="7">
        <v>1385111.4289130846</v>
      </c>
      <c r="C791">
        <f t="shared" si="12"/>
        <v>1</v>
      </c>
    </row>
    <row r="792" spans="1:3" x14ac:dyDescent="0.3">
      <c r="A792">
        <v>791</v>
      </c>
      <c r="B792" s="7">
        <v>16154632.66285106</v>
      </c>
      <c r="C792">
        <f t="shared" si="12"/>
        <v>1</v>
      </c>
    </row>
    <row r="793" spans="1:3" x14ac:dyDescent="0.3">
      <c r="A793">
        <v>792</v>
      </c>
      <c r="B793" s="7">
        <v>0</v>
      </c>
      <c r="C793">
        <f t="shared" si="12"/>
        <v>0</v>
      </c>
    </row>
    <row r="794" spans="1:3" x14ac:dyDescent="0.3">
      <c r="A794">
        <v>793</v>
      </c>
      <c r="B794" s="7">
        <v>2175873.7895607669</v>
      </c>
      <c r="C794">
        <f t="shared" si="12"/>
        <v>1</v>
      </c>
    </row>
    <row r="795" spans="1:3" x14ac:dyDescent="0.3">
      <c r="A795">
        <v>794</v>
      </c>
      <c r="B795" s="7">
        <v>7207200.1302230367</v>
      </c>
      <c r="C795">
        <f t="shared" si="12"/>
        <v>1</v>
      </c>
    </row>
    <row r="796" spans="1:3" x14ac:dyDescent="0.3">
      <c r="A796">
        <v>795</v>
      </c>
      <c r="B796" s="7">
        <v>5597374.4669355471</v>
      </c>
      <c r="C796">
        <f t="shared" si="12"/>
        <v>1</v>
      </c>
    </row>
    <row r="797" spans="1:3" x14ac:dyDescent="0.3">
      <c r="A797">
        <v>796</v>
      </c>
      <c r="B797" s="7">
        <v>3741347.7213215125</v>
      </c>
      <c r="C797">
        <f t="shared" si="12"/>
        <v>1</v>
      </c>
    </row>
    <row r="798" spans="1:3" x14ac:dyDescent="0.3">
      <c r="A798">
        <v>797</v>
      </c>
      <c r="B798" s="7">
        <v>1604868.5321625373</v>
      </c>
      <c r="C798">
        <f t="shared" si="12"/>
        <v>1</v>
      </c>
    </row>
    <row r="799" spans="1:3" x14ac:dyDescent="0.3">
      <c r="A799">
        <v>798</v>
      </c>
      <c r="B799" s="7">
        <v>3712190.3414447713</v>
      </c>
      <c r="C799">
        <f t="shared" si="12"/>
        <v>1</v>
      </c>
    </row>
    <row r="800" spans="1:3" x14ac:dyDescent="0.3">
      <c r="A800">
        <v>799</v>
      </c>
      <c r="B800" s="7">
        <v>9106930.96130451</v>
      </c>
      <c r="C800">
        <f t="shared" si="12"/>
        <v>1</v>
      </c>
    </row>
    <row r="801" spans="1:3" x14ac:dyDescent="0.3">
      <c r="A801">
        <v>800</v>
      </c>
      <c r="B801" s="7">
        <v>19029561.141491383</v>
      </c>
      <c r="C801">
        <f t="shared" si="12"/>
        <v>1</v>
      </c>
    </row>
    <row r="802" spans="1:3" x14ac:dyDescent="0.3">
      <c r="A802">
        <v>801</v>
      </c>
      <c r="B802" s="7">
        <v>8332650.665457339</v>
      </c>
      <c r="C802">
        <f t="shared" si="12"/>
        <v>1</v>
      </c>
    </row>
    <row r="803" spans="1:3" x14ac:dyDescent="0.3">
      <c r="A803">
        <v>802</v>
      </c>
      <c r="B803" s="7">
        <v>2212416.3670298606</v>
      </c>
      <c r="C803">
        <f t="shared" si="12"/>
        <v>1</v>
      </c>
    </row>
    <row r="804" spans="1:3" x14ac:dyDescent="0.3">
      <c r="A804">
        <v>803</v>
      </c>
      <c r="B804" s="7">
        <v>17201344.219411429</v>
      </c>
      <c r="C804">
        <f t="shared" si="12"/>
        <v>1</v>
      </c>
    </row>
    <row r="805" spans="1:3" x14ac:dyDescent="0.3">
      <c r="A805">
        <v>804</v>
      </c>
      <c r="B805" s="7">
        <v>7600346.708341158</v>
      </c>
      <c r="C805">
        <f t="shared" si="12"/>
        <v>1</v>
      </c>
    </row>
    <row r="806" spans="1:3" x14ac:dyDescent="0.3">
      <c r="A806">
        <v>805</v>
      </c>
      <c r="B806" s="7">
        <v>1390283.8729426588</v>
      </c>
      <c r="C806">
        <f t="shared" si="12"/>
        <v>1</v>
      </c>
    </row>
    <row r="807" spans="1:3" x14ac:dyDescent="0.3">
      <c r="A807">
        <v>806</v>
      </c>
      <c r="B807" s="7">
        <v>820368.61843243614</v>
      </c>
      <c r="C807">
        <f t="shared" si="12"/>
        <v>1</v>
      </c>
    </row>
    <row r="808" spans="1:3" x14ac:dyDescent="0.3">
      <c r="A808">
        <v>807</v>
      </c>
      <c r="B808" s="7">
        <v>6784598.4971020445</v>
      </c>
      <c r="C808">
        <f t="shared" si="12"/>
        <v>1</v>
      </c>
    </row>
    <row r="809" spans="1:3" x14ac:dyDescent="0.3">
      <c r="A809">
        <v>808</v>
      </c>
      <c r="B809" s="7">
        <v>6663833.9888315722</v>
      </c>
      <c r="C809">
        <f t="shared" si="12"/>
        <v>1</v>
      </c>
    </row>
    <row r="810" spans="1:3" x14ac:dyDescent="0.3">
      <c r="A810">
        <v>809</v>
      </c>
      <c r="B810" s="7">
        <v>0</v>
      </c>
      <c r="C810">
        <f t="shared" si="12"/>
        <v>0</v>
      </c>
    </row>
    <row r="811" spans="1:3" x14ac:dyDescent="0.3">
      <c r="A811">
        <v>810</v>
      </c>
      <c r="B811" s="7">
        <v>10517763.537651351</v>
      </c>
      <c r="C811">
        <f t="shared" si="12"/>
        <v>1</v>
      </c>
    </row>
    <row r="812" spans="1:3" x14ac:dyDescent="0.3">
      <c r="A812">
        <v>811</v>
      </c>
      <c r="B812" s="7">
        <v>3657767.9066465911</v>
      </c>
      <c r="C812">
        <f t="shared" si="12"/>
        <v>1</v>
      </c>
    </row>
    <row r="813" spans="1:3" x14ac:dyDescent="0.3">
      <c r="A813">
        <v>812</v>
      </c>
      <c r="B813" s="7">
        <v>2115684.7761128838</v>
      </c>
      <c r="C813">
        <f t="shared" si="12"/>
        <v>1</v>
      </c>
    </row>
    <row r="814" spans="1:3" x14ac:dyDescent="0.3">
      <c r="A814">
        <v>813</v>
      </c>
      <c r="B814" s="7">
        <v>5162204.0697813705</v>
      </c>
      <c r="C814">
        <f t="shared" si="12"/>
        <v>1</v>
      </c>
    </row>
    <row r="815" spans="1:3" x14ac:dyDescent="0.3">
      <c r="A815">
        <v>814</v>
      </c>
      <c r="B815" s="7">
        <v>8177716.7389872251</v>
      </c>
      <c r="C815">
        <f t="shared" si="12"/>
        <v>1</v>
      </c>
    </row>
    <row r="816" spans="1:3" x14ac:dyDescent="0.3">
      <c r="A816">
        <v>815</v>
      </c>
      <c r="B816" s="7">
        <v>9840867.6559194382</v>
      </c>
      <c r="C816">
        <f t="shared" si="12"/>
        <v>1</v>
      </c>
    </row>
    <row r="817" spans="1:3" x14ac:dyDescent="0.3">
      <c r="A817">
        <v>816</v>
      </c>
      <c r="B817" s="7">
        <v>3105437.5962111512</v>
      </c>
      <c r="C817">
        <f t="shared" si="12"/>
        <v>1</v>
      </c>
    </row>
    <row r="818" spans="1:3" x14ac:dyDescent="0.3">
      <c r="A818">
        <v>817</v>
      </c>
      <c r="B818" s="7">
        <v>2800763.5359659507</v>
      </c>
      <c r="C818">
        <f t="shared" si="12"/>
        <v>1</v>
      </c>
    </row>
    <row r="819" spans="1:3" x14ac:dyDescent="0.3">
      <c r="A819">
        <v>818</v>
      </c>
      <c r="B819" s="7">
        <v>6881724.183595567</v>
      </c>
      <c r="C819">
        <f t="shared" si="12"/>
        <v>1</v>
      </c>
    </row>
    <row r="820" spans="1:3" x14ac:dyDescent="0.3">
      <c r="A820">
        <v>819</v>
      </c>
      <c r="B820" s="7">
        <v>14293374.81485337</v>
      </c>
      <c r="C820">
        <f t="shared" si="12"/>
        <v>1</v>
      </c>
    </row>
    <row r="821" spans="1:3" x14ac:dyDescent="0.3">
      <c r="A821">
        <v>820</v>
      </c>
      <c r="B821" s="7">
        <v>5843183.5886192657</v>
      </c>
      <c r="C821">
        <f t="shared" si="12"/>
        <v>1</v>
      </c>
    </row>
    <row r="822" spans="1:3" x14ac:dyDescent="0.3">
      <c r="A822">
        <v>821</v>
      </c>
      <c r="B822" s="7">
        <v>9099848.0692536272</v>
      </c>
      <c r="C822">
        <f t="shared" si="12"/>
        <v>1</v>
      </c>
    </row>
    <row r="823" spans="1:3" x14ac:dyDescent="0.3">
      <c r="A823">
        <v>822</v>
      </c>
      <c r="B823" s="7">
        <v>2977105.4614587943</v>
      </c>
      <c r="C823">
        <f t="shared" si="12"/>
        <v>1</v>
      </c>
    </row>
    <row r="824" spans="1:3" x14ac:dyDescent="0.3">
      <c r="A824">
        <v>823</v>
      </c>
      <c r="B824" s="7">
        <v>3389559.5126495929</v>
      </c>
      <c r="C824">
        <f t="shared" si="12"/>
        <v>1</v>
      </c>
    </row>
    <row r="825" spans="1:3" x14ac:dyDescent="0.3">
      <c r="A825">
        <v>824</v>
      </c>
      <c r="B825" s="7">
        <v>12729419.816790622</v>
      </c>
      <c r="C825">
        <f t="shared" si="12"/>
        <v>1</v>
      </c>
    </row>
    <row r="826" spans="1:3" x14ac:dyDescent="0.3">
      <c r="A826">
        <v>825</v>
      </c>
      <c r="B826" s="7">
        <v>1603036.4699636402</v>
      </c>
      <c r="C826">
        <f t="shared" si="12"/>
        <v>1</v>
      </c>
    </row>
    <row r="827" spans="1:3" x14ac:dyDescent="0.3">
      <c r="A827">
        <v>826</v>
      </c>
      <c r="B827" s="7">
        <v>1543046.4780736149</v>
      </c>
      <c r="C827">
        <f t="shared" si="12"/>
        <v>1</v>
      </c>
    </row>
    <row r="828" spans="1:3" x14ac:dyDescent="0.3">
      <c r="A828">
        <v>827</v>
      </c>
      <c r="B828" s="7">
        <v>3489372.5048829829</v>
      </c>
      <c r="C828">
        <f t="shared" si="12"/>
        <v>1</v>
      </c>
    </row>
    <row r="829" spans="1:3" x14ac:dyDescent="0.3">
      <c r="A829">
        <v>828</v>
      </c>
      <c r="B829" s="7">
        <v>4732466.0871359985</v>
      </c>
      <c r="C829">
        <f t="shared" si="12"/>
        <v>1</v>
      </c>
    </row>
    <row r="830" spans="1:3" x14ac:dyDescent="0.3">
      <c r="A830">
        <v>829</v>
      </c>
      <c r="B830" s="7">
        <v>17993297.963908955</v>
      </c>
      <c r="C830">
        <f t="shared" si="12"/>
        <v>1</v>
      </c>
    </row>
    <row r="831" spans="1:3" x14ac:dyDescent="0.3">
      <c r="A831">
        <v>830</v>
      </c>
      <c r="B831" s="7">
        <v>6189987.8368047811</v>
      </c>
      <c r="C831">
        <f t="shared" si="12"/>
        <v>1</v>
      </c>
    </row>
    <row r="832" spans="1:3" x14ac:dyDescent="0.3">
      <c r="A832">
        <v>831</v>
      </c>
      <c r="B832" s="7">
        <v>3980044.4843462692</v>
      </c>
      <c r="C832">
        <f t="shared" si="12"/>
        <v>1</v>
      </c>
    </row>
    <row r="833" spans="1:3" x14ac:dyDescent="0.3">
      <c r="A833">
        <v>832</v>
      </c>
      <c r="B833" s="7">
        <v>1901773.4536779425</v>
      </c>
      <c r="C833">
        <f t="shared" si="12"/>
        <v>1</v>
      </c>
    </row>
    <row r="834" spans="1:3" x14ac:dyDescent="0.3">
      <c r="A834">
        <v>833</v>
      </c>
      <c r="B834" s="7">
        <v>10617603.963269629</v>
      </c>
      <c r="C834">
        <f t="shared" si="12"/>
        <v>1</v>
      </c>
    </row>
    <row r="835" spans="1:3" x14ac:dyDescent="0.3">
      <c r="A835">
        <v>834</v>
      </c>
      <c r="B835" s="7">
        <v>10903310.021083172</v>
      </c>
      <c r="C835">
        <f t="shared" ref="C835:C898" si="13">IF(B835=0,0,1)</f>
        <v>1</v>
      </c>
    </row>
    <row r="836" spans="1:3" x14ac:dyDescent="0.3">
      <c r="A836">
        <v>835</v>
      </c>
      <c r="B836" s="7">
        <v>1197382.3141637375</v>
      </c>
      <c r="C836">
        <f t="shared" si="13"/>
        <v>1</v>
      </c>
    </row>
    <row r="837" spans="1:3" x14ac:dyDescent="0.3">
      <c r="A837">
        <v>836</v>
      </c>
      <c r="B837" s="7">
        <v>2111954.3832098949</v>
      </c>
      <c r="C837">
        <f t="shared" si="13"/>
        <v>1</v>
      </c>
    </row>
    <row r="838" spans="1:3" x14ac:dyDescent="0.3">
      <c r="A838">
        <v>837</v>
      </c>
      <c r="B838" s="7">
        <v>4200727.2752659675</v>
      </c>
      <c r="C838">
        <f t="shared" si="13"/>
        <v>1</v>
      </c>
    </row>
    <row r="839" spans="1:3" x14ac:dyDescent="0.3">
      <c r="A839">
        <v>838</v>
      </c>
      <c r="B839" s="7">
        <v>8011933.2527760053</v>
      </c>
      <c r="C839">
        <f t="shared" si="13"/>
        <v>1</v>
      </c>
    </row>
    <row r="840" spans="1:3" x14ac:dyDescent="0.3">
      <c r="A840">
        <v>839</v>
      </c>
      <c r="B840" s="7">
        <v>6684953.5817642352</v>
      </c>
      <c r="C840">
        <f t="shared" si="13"/>
        <v>1</v>
      </c>
    </row>
    <row r="841" spans="1:3" x14ac:dyDescent="0.3">
      <c r="A841">
        <v>840</v>
      </c>
      <c r="B841" s="7">
        <v>3305753.5423634136</v>
      </c>
      <c r="C841">
        <f t="shared" si="13"/>
        <v>1</v>
      </c>
    </row>
    <row r="842" spans="1:3" x14ac:dyDescent="0.3">
      <c r="A842">
        <v>841</v>
      </c>
      <c r="B842" s="7">
        <v>1009217.5107775506</v>
      </c>
      <c r="C842">
        <f t="shared" si="13"/>
        <v>1</v>
      </c>
    </row>
    <row r="843" spans="1:3" x14ac:dyDescent="0.3">
      <c r="A843">
        <v>842</v>
      </c>
      <c r="B843" s="7">
        <v>2783627.3430340481</v>
      </c>
      <c r="C843">
        <f t="shared" si="13"/>
        <v>1</v>
      </c>
    </row>
    <row r="844" spans="1:3" x14ac:dyDescent="0.3">
      <c r="A844">
        <v>843</v>
      </c>
      <c r="B844" s="7">
        <v>13904690.813756239</v>
      </c>
      <c r="C844">
        <f t="shared" si="13"/>
        <v>1</v>
      </c>
    </row>
    <row r="845" spans="1:3" x14ac:dyDescent="0.3">
      <c r="A845">
        <v>844</v>
      </c>
      <c r="B845" s="7">
        <v>3563609.5160217453</v>
      </c>
      <c r="C845">
        <f t="shared" si="13"/>
        <v>1</v>
      </c>
    </row>
    <row r="846" spans="1:3" x14ac:dyDescent="0.3">
      <c r="A846">
        <v>845</v>
      </c>
      <c r="B846" s="7">
        <v>5097821.7880931664</v>
      </c>
      <c r="C846">
        <f t="shared" si="13"/>
        <v>1</v>
      </c>
    </row>
    <row r="847" spans="1:3" x14ac:dyDescent="0.3">
      <c r="A847">
        <v>846</v>
      </c>
      <c r="B847" s="7">
        <v>6710890.24366224</v>
      </c>
      <c r="C847">
        <f t="shared" si="13"/>
        <v>1</v>
      </c>
    </row>
    <row r="848" spans="1:3" x14ac:dyDescent="0.3">
      <c r="A848">
        <v>847</v>
      </c>
      <c r="B848" s="7">
        <v>8404228.1986071393</v>
      </c>
      <c r="C848">
        <f t="shared" si="13"/>
        <v>1</v>
      </c>
    </row>
    <row r="849" spans="1:3" x14ac:dyDescent="0.3">
      <c r="A849">
        <v>848</v>
      </c>
      <c r="B849" s="7">
        <v>5528118.2848909525</v>
      </c>
      <c r="C849">
        <f t="shared" si="13"/>
        <v>1</v>
      </c>
    </row>
    <row r="850" spans="1:3" x14ac:dyDescent="0.3">
      <c r="A850">
        <v>849</v>
      </c>
      <c r="B850" s="7">
        <v>4163080.7187977093</v>
      </c>
      <c r="C850">
        <f t="shared" si="13"/>
        <v>1</v>
      </c>
    </row>
    <row r="851" spans="1:3" x14ac:dyDescent="0.3">
      <c r="A851">
        <v>850</v>
      </c>
      <c r="B851" s="7">
        <v>3876650.0549536389</v>
      </c>
      <c r="C851">
        <f t="shared" si="13"/>
        <v>1</v>
      </c>
    </row>
    <row r="852" spans="1:3" x14ac:dyDescent="0.3">
      <c r="A852">
        <v>851</v>
      </c>
      <c r="B852" s="7">
        <v>16177522.521916682</v>
      </c>
      <c r="C852">
        <f t="shared" si="13"/>
        <v>1</v>
      </c>
    </row>
    <row r="853" spans="1:3" x14ac:dyDescent="0.3">
      <c r="A853">
        <v>852</v>
      </c>
      <c r="B853" s="7">
        <v>1775735.9091996318</v>
      </c>
      <c r="C853">
        <f t="shared" si="13"/>
        <v>1</v>
      </c>
    </row>
    <row r="854" spans="1:3" x14ac:dyDescent="0.3">
      <c r="A854">
        <v>853</v>
      </c>
      <c r="B854" s="7">
        <v>22282949.899421263</v>
      </c>
      <c r="C854">
        <f t="shared" si="13"/>
        <v>1</v>
      </c>
    </row>
    <row r="855" spans="1:3" x14ac:dyDescent="0.3">
      <c r="A855">
        <v>854</v>
      </c>
      <c r="B855" s="7">
        <v>3915728.7932423009</v>
      </c>
      <c r="C855">
        <f t="shared" si="13"/>
        <v>1</v>
      </c>
    </row>
    <row r="856" spans="1:3" x14ac:dyDescent="0.3">
      <c r="A856">
        <v>855</v>
      </c>
      <c r="B856" s="7">
        <v>1722682.6988850476</v>
      </c>
      <c r="C856">
        <f t="shared" si="13"/>
        <v>1</v>
      </c>
    </row>
    <row r="857" spans="1:3" x14ac:dyDescent="0.3">
      <c r="A857">
        <v>856</v>
      </c>
      <c r="B857" s="7">
        <v>4899290.3357478399</v>
      </c>
      <c r="C857">
        <f t="shared" si="13"/>
        <v>1</v>
      </c>
    </row>
    <row r="858" spans="1:3" x14ac:dyDescent="0.3">
      <c r="A858">
        <v>857</v>
      </c>
      <c r="B858" s="7">
        <v>8560575.2232515458</v>
      </c>
      <c r="C858">
        <f t="shared" si="13"/>
        <v>1</v>
      </c>
    </row>
    <row r="859" spans="1:3" x14ac:dyDescent="0.3">
      <c r="A859">
        <v>858</v>
      </c>
      <c r="B859" s="7">
        <v>8283080.4162535844</v>
      </c>
      <c r="C859">
        <f t="shared" si="13"/>
        <v>1</v>
      </c>
    </row>
    <row r="860" spans="1:3" x14ac:dyDescent="0.3">
      <c r="A860">
        <v>859</v>
      </c>
      <c r="B860" s="7">
        <v>5594187.8083755681</v>
      </c>
      <c r="C860">
        <f t="shared" si="13"/>
        <v>1</v>
      </c>
    </row>
    <row r="861" spans="1:3" x14ac:dyDescent="0.3">
      <c r="A861">
        <v>860</v>
      </c>
      <c r="B861" s="7">
        <v>4037139.9997010035</v>
      </c>
      <c r="C861">
        <f t="shared" si="13"/>
        <v>1</v>
      </c>
    </row>
    <row r="862" spans="1:3" x14ac:dyDescent="0.3">
      <c r="A862">
        <v>861</v>
      </c>
      <c r="B862" s="7">
        <v>4814819.7296192544</v>
      </c>
      <c r="C862">
        <f t="shared" si="13"/>
        <v>1</v>
      </c>
    </row>
    <row r="863" spans="1:3" x14ac:dyDescent="0.3">
      <c r="A863">
        <v>862</v>
      </c>
      <c r="B863" s="7">
        <v>3491300.1545688584</v>
      </c>
      <c r="C863">
        <f t="shared" si="13"/>
        <v>1</v>
      </c>
    </row>
    <row r="864" spans="1:3" x14ac:dyDescent="0.3">
      <c r="A864">
        <v>863</v>
      </c>
      <c r="B864" s="7">
        <v>2811027.6380068669</v>
      </c>
      <c r="C864">
        <f t="shared" si="13"/>
        <v>1</v>
      </c>
    </row>
    <row r="865" spans="1:3" x14ac:dyDescent="0.3">
      <c r="A865">
        <v>864</v>
      </c>
      <c r="B865" s="7">
        <v>4172195.3031190899</v>
      </c>
      <c r="C865">
        <f t="shared" si="13"/>
        <v>1</v>
      </c>
    </row>
    <row r="866" spans="1:3" x14ac:dyDescent="0.3">
      <c r="A866">
        <v>865</v>
      </c>
      <c r="B866" s="7">
        <v>5772813.5817942573</v>
      </c>
      <c r="C866">
        <f t="shared" si="13"/>
        <v>1</v>
      </c>
    </row>
    <row r="867" spans="1:3" x14ac:dyDescent="0.3">
      <c r="A867">
        <v>866</v>
      </c>
      <c r="B867" s="7">
        <v>4470411.092540645</v>
      </c>
      <c r="C867">
        <f t="shared" si="13"/>
        <v>1</v>
      </c>
    </row>
    <row r="868" spans="1:3" x14ac:dyDescent="0.3">
      <c r="A868">
        <v>867</v>
      </c>
      <c r="B868" s="7">
        <v>11454095.721353877</v>
      </c>
      <c r="C868">
        <f t="shared" si="13"/>
        <v>1</v>
      </c>
    </row>
    <row r="869" spans="1:3" x14ac:dyDescent="0.3">
      <c r="A869">
        <v>868</v>
      </c>
      <c r="B869" s="7">
        <v>2398095.6045971829</v>
      </c>
      <c r="C869">
        <f t="shared" si="13"/>
        <v>1</v>
      </c>
    </row>
    <row r="870" spans="1:3" x14ac:dyDescent="0.3">
      <c r="A870">
        <v>869</v>
      </c>
      <c r="B870" s="7">
        <v>12604693.64383826</v>
      </c>
      <c r="C870">
        <f t="shared" si="13"/>
        <v>1</v>
      </c>
    </row>
    <row r="871" spans="1:3" x14ac:dyDescent="0.3">
      <c r="A871">
        <v>870</v>
      </c>
      <c r="B871" s="7">
        <v>3816926.3269735635</v>
      </c>
      <c r="C871">
        <f t="shared" si="13"/>
        <v>1</v>
      </c>
    </row>
    <row r="872" spans="1:3" x14ac:dyDescent="0.3">
      <c r="A872">
        <v>871</v>
      </c>
      <c r="B872" s="7">
        <v>4836485.6697319346</v>
      </c>
      <c r="C872">
        <f t="shared" si="13"/>
        <v>1</v>
      </c>
    </row>
    <row r="873" spans="1:3" x14ac:dyDescent="0.3">
      <c r="A873">
        <v>872</v>
      </c>
      <c r="B873" s="7">
        <v>1373391.1911371408</v>
      </c>
      <c r="C873">
        <f t="shared" si="13"/>
        <v>1</v>
      </c>
    </row>
    <row r="874" spans="1:3" x14ac:dyDescent="0.3">
      <c r="A874">
        <v>873</v>
      </c>
      <c r="B874" s="7">
        <v>4100657.7547269366</v>
      </c>
      <c r="C874">
        <f t="shared" si="13"/>
        <v>1</v>
      </c>
    </row>
    <row r="875" spans="1:3" x14ac:dyDescent="0.3">
      <c r="A875">
        <v>874</v>
      </c>
      <c r="B875" s="7">
        <v>4683833.1220386513</v>
      </c>
      <c r="C875">
        <f t="shared" si="13"/>
        <v>1</v>
      </c>
    </row>
    <row r="876" spans="1:3" x14ac:dyDescent="0.3">
      <c r="A876">
        <v>875</v>
      </c>
      <c r="B876" s="7">
        <v>11106720.97618903</v>
      </c>
      <c r="C876">
        <f t="shared" si="13"/>
        <v>1</v>
      </c>
    </row>
    <row r="877" spans="1:3" x14ac:dyDescent="0.3">
      <c r="A877">
        <v>876</v>
      </c>
      <c r="B877" s="7">
        <v>3488008.4568053521</v>
      </c>
      <c r="C877">
        <f t="shared" si="13"/>
        <v>1</v>
      </c>
    </row>
    <row r="878" spans="1:3" x14ac:dyDescent="0.3">
      <c r="A878">
        <v>877</v>
      </c>
      <c r="B878" s="7">
        <v>7292393.8117438983</v>
      </c>
      <c r="C878">
        <f t="shared" si="13"/>
        <v>1</v>
      </c>
    </row>
    <row r="879" spans="1:3" x14ac:dyDescent="0.3">
      <c r="A879">
        <v>878</v>
      </c>
      <c r="B879" s="7">
        <v>14266594.472612932</v>
      </c>
      <c r="C879">
        <f t="shared" si="13"/>
        <v>1</v>
      </c>
    </row>
    <row r="880" spans="1:3" x14ac:dyDescent="0.3">
      <c r="A880">
        <v>879</v>
      </c>
      <c r="B880" s="7">
        <v>14995830.883951893</v>
      </c>
      <c r="C880">
        <f t="shared" si="13"/>
        <v>1</v>
      </c>
    </row>
    <row r="881" spans="1:3" x14ac:dyDescent="0.3">
      <c r="A881">
        <v>880</v>
      </c>
      <c r="B881" s="7">
        <v>2451531.6706842869</v>
      </c>
      <c r="C881">
        <f t="shared" si="13"/>
        <v>1</v>
      </c>
    </row>
    <row r="882" spans="1:3" x14ac:dyDescent="0.3">
      <c r="A882">
        <v>881</v>
      </c>
      <c r="B882" s="7">
        <v>2393581.1088401983</v>
      </c>
      <c r="C882">
        <f t="shared" si="13"/>
        <v>1</v>
      </c>
    </row>
    <row r="883" spans="1:3" x14ac:dyDescent="0.3">
      <c r="A883">
        <v>882</v>
      </c>
      <c r="B883" s="7">
        <v>3408707.4345184239</v>
      </c>
      <c r="C883">
        <f t="shared" si="13"/>
        <v>1</v>
      </c>
    </row>
    <row r="884" spans="1:3" x14ac:dyDescent="0.3">
      <c r="A884">
        <v>883</v>
      </c>
      <c r="B884" s="7">
        <v>2698411.2906579864</v>
      </c>
      <c r="C884">
        <f t="shared" si="13"/>
        <v>1</v>
      </c>
    </row>
    <row r="885" spans="1:3" x14ac:dyDescent="0.3">
      <c r="A885">
        <v>884</v>
      </c>
      <c r="B885" s="7">
        <v>4332895.6423794003</v>
      </c>
      <c r="C885">
        <f t="shared" si="13"/>
        <v>1</v>
      </c>
    </row>
    <row r="886" spans="1:3" x14ac:dyDescent="0.3">
      <c r="A886">
        <v>885</v>
      </c>
      <c r="B886" s="7">
        <v>10049751.787133584</v>
      </c>
      <c r="C886">
        <f t="shared" si="13"/>
        <v>1</v>
      </c>
    </row>
    <row r="887" spans="1:3" x14ac:dyDescent="0.3">
      <c r="A887">
        <v>886</v>
      </c>
      <c r="B887" s="7">
        <v>30409035.038863167</v>
      </c>
      <c r="C887">
        <f t="shared" si="13"/>
        <v>1</v>
      </c>
    </row>
    <row r="888" spans="1:3" x14ac:dyDescent="0.3">
      <c r="A888">
        <v>887</v>
      </c>
      <c r="B888" s="7">
        <v>2514658.4755198071</v>
      </c>
      <c r="C888">
        <f t="shared" si="13"/>
        <v>1</v>
      </c>
    </row>
    <row r="889" spans="1:3" x14ac:dyDescent="0.3">
      <c r="A889">
        <v>888</v>
      </c>
      <c r="B889" s="7">
        <v>3177750.8074248629</v>
      </c>
      <c r="C889">
        <f t="shared" si="13"/>
        <v>1</v>
      </c>
    </row>
    <row r="890" spans="1:3" x14ac:dyDescent="0.3">
      <c r="A890">
        <v>889</v>
      </c>
      <c r="B890" s="7">
        <v>2545519.1865578783</v>
      </c>
      <c r="C890">
        <f t="shared" si="13"/>
        <v>1</v>
      </c>
    </row>
    <row r="891" spans="1:3" x14ac:dyDescent="0.3">
      <c r="A891">
        <v>890</v>
      </c>
      <c r="B891" s="7">
        <v>9294749.4747106284</v>
      </c>
      <c r="C891">
        <f t="shared" si="13"/>
        <v>1</v>
      </c>
    </row>
    <row r="892" spans="1:3" x14ac:dyDescent="0.3">
      <c r="A892">
        <v>891</v>
      </c>
      <c r="B892" s="7">
        <v>6277208.9093802301</v>
      </c>
      <c r="C892">
        <f t="shared" si="13"/>
        <v>1</v>
      </c>
    </row>
    <row r="893" spans="1:3" x14ac:dyDescent="0.3">
      <c r="A893">
        <v>892</v>
      </c>
      <c r="B893" s="7">
        <v>10207310.981745286</v>
      </c>
      <c r="C893">
        <f t="shared" si="13"/>
        <v>1</v>
      </c>
    </row>
    <row r="894" spans="1:3" x14ac:dyDescent="0.3">
      <c r="A894">
        <v>893</v>
      </c>
      <c r="B894" s="7">
        <v>10758040.956481902</v>
      </c>
      <c r="C894">
        <f t="shared" si="13"/>
        <v>1</v>
      </c>
    </row>
    <row r="895" spans="1:3" x14ac:dyDescent="0.3">
      <c r="A895">
        <v>894</v>
      </c>
      <c r="B895" s="7">
        <v>4599036.2183508743</v>
      </c>
      <c r="C895">
        <f t="shared" si="13"/>
        <v>1</v>
      </c>
    </row>
    <row r="896" spans="1:3" x14ac:dyDescent="0.3">
      <c r="A896">
        <v>895</v>
      </c>
      <c r="B896" s="7">
        <v>16504281.566623557</v>
      </c>
      <c r="C896">
        <f t="shared" si="13"/>
        <v>1</v>
      </c>
    </row>
    <row r="897" spans="1:3" x14ac:dyDescent="0.3">
      <c r="A897">
        <v>896</v>
      </c>
      <c r="B897" s="7">
        <v>7975242.3423641194</v>
      </c>
      <c r="C897">
        <f t="shared" si="13"/>
        <v>1</v>
      </c>
    </row>
    <row r="898" spans="1:3" x14ac:dyDescent="0.3">
      <c r="A898">
        <v>897</v>
      </c>
      <c r="B898" s="7">
        <v>5872152.4512963956</v>
      </c>
      <c r="C898">
        <f t="shared" si="13"/>
        <v>1</v>
      </c>
    </row>
    <row r="899" spans="1:3" x14ac:dyDescent="0.3">
      <c r="A899">
        <v>898</v>
      </c>
      <c r="B899" s="7">
        <v>1333619.1577712286</v>
      </c>
      <c r="C899">
        <f t="shared" ref="C899:C962" si="14">IF(B899=0,0,1)</f>
        <v>1</v>
      </c>
    </row>
    <row r="900" spans="1:3" x14ac:dyDescent="0.3">
      <c r="A900">
        <v>899</v>
      </c>
      <c r="B900" s="7">
        <v>8382180.9330987921</v>
      </c>
      <c r="C900">
        <f t="shared" si="14"/>
        <v>1</v>
      </c>
    </row>
    <row r="901" spans="1:3" x14ac:dyDescent="0.3">
      <c r="A901">
        <v>900</v>
      </c>
      <c r="B901" s="7">
        <v>1978782.1092603328</v>
      </c>
      <c r="C901">
        <f t="shared" si="14"/>
        <v>1</v>
      </c>
    </row>
    <row r="902" spans="1:3" x14ac:dyDescent="0.3">
      <c r="A902">
        <v>901</v>
      </c>
      <c r="B902" s="7">
        <v>6556389.3951114519</v>
      </c>
      <c r="C902">
        <f t="shared" si="14"/>
        <v>1</v>
      </c>
    </row>
    <row r="903" spans="1:3" x14ac:dyDescent="0.3">
      <c r="A903">
        <v>902</v>
      </c>
      <c r="B903" s="7">
        <v>2950330.9498028122</v>
      </c>
      <c r="C903">
        <f t="shared" si="14"/>
        <v>1</v>
      </c>
    </row>
    <row r="904" spans="1:3" x14ac:dyDescent="0.3">
      <c r="A904">
        <v>903</v>
      </c>
      <c r="B904" s="7">
        <v>95974.126414014565</v>
      </c>
      <c r="C904">
        <f t="shared" si="14"/>
        <v>1</v>
      </c>
    </row>
    <row r="905" spans="1:3" x14ac:dyDescent="0.3">
      <c r="A905">
        <v>904</v>
      </c>
      <c r="B905" s="7">
        <v>1193804.8519921396</v>
      </c>
      <c r="C905">
        <f t="shared" si="14"/>
        <v>1</v>
      </c>
    </row>
    <row r="906" spans="1:3" x14ac:dyDescent="0.3">
      <c r="A906">
        <v>905</v>
      </c>
      <c r="B906" s="7">
        <v>4484412.8054693285</v>
      </c>
      <c r="C906">
        <f t="shared" si="14"/>
        <v>1</v>
      </c>
    </row>
    <row r="907" spans="1:3" x14ac:dyDescent="0.3">
      <c r="A907">
        <v>906</v>
      </c>
      <c r="B907" s="7">
        <v>9965709.1941403951</v>
      </c>
      <c r="C907">
        <f t="shared" si="14"/>
        <v>1</v>
      </c>
    </row>
    <row r="908" spans="1:3" x14ac:dyDescent="0.3">
      <c r="A908">
        <v>907</v>
      </c>
      <c r="B908" s="7">
        <v>16830335.636302199</v>
      </c>
      <c r="C908">
        <f t="shared" si="14"/>
        <v>1</v>
      </c>
    </row>
    <row r="909" spans="1:3" x14ac:dyDescent="0.3">
      <c r="A909">
        <v>908</v>
      </c>
      <c r="B909" s="7">
        <v>4126244.2902723863</v>
      </c>
      <c r="C909">
        <f t="shared" si="14"/>
        <v>1</v>
      </c>
    </row>
    <row r="910" spans="1:3" x14ac:dyDescent="0.3">
      <c r="A910">
        <v>909</v>
      </c>
      <c r="B910" s="7">
        <v>2218286.8526112493</v>
      </c>
      <c r="C910">
        <f t="shared" si="14"/>
        <v>1</v>
      </c>
    </row>
    <row r="911" spans="1:3" x14ac:dyDescent="0.3">
      <c r="A911">
        <v>910</v>
      </c>
      <c r="B911" s="7">
        <v>11621906.271073066</v>
      </c>
      <c r="C911">
        <f t="shared" si="14"/>
        <v>1</v>
      </c>
    </row>
    <row r="912" spans="1:3" x14ac:dyDescent="0.3">
      <c r="A912">
        <v>911</v>
      </c>
      <c r="B912" s="7">
        <v>13443570.282150449</v>
      </c>
      <c r="C912">
        <f t="shared" si="14"/>
        <v>1</v>
      </c>
    </row>
    <row r="913" spans="1:3" x14ac:dyDescent="0.3">
      <c r="A913">
        <v>912</v>
      </c>
      <c r="B913" s="7">
        <v>7454725.3158218618</v>
      </c>
      <c r="C913">
        <f t="shared" si="14"/>
        <v>1</v>
      </c>
    </row>
    <row r="914" spans="1:3" x14ac:dyDescent="0.3">
      <c r="A914">
        <v>913</v>
      </c>
      <c r="B914" s="7">
        <v>1403737.9952587995</v>
      </c>
      <c r="C914">
        <f t="shared" si="14"/>
        <v>1</v>
      </c>
    </row>
    <row r="915" spans="1:3" x14ac:dyDescent="0.3">
      <c r="A915">
        <v>914</v>
      </c>
      <c r="B915" s="7">
        <v>10444223.328043284</v>
      </c>
      <c r="C915">
        <f t="shared" si="14"/>
        <v>1</v>
      </c>
    </row>
    <row r="916" spans="1:3" x14ac:dyDescent="0.3">
      <c r="A916">
        <v>915</v>
      </c>
      <c r="B916" s="7">
        <v>3915707.2654581149</v>
      </c>
      <c r="C916">
        <f t="shared" si="14"/>
        <v>1</v>
      </c>
    </row>
    <row r="917" spans="1:3" x14ac:dyDescent="0.3">
      <c r="A917">
        <v>916</v>
      </c>
      <c r="B917" s="7">
        <v>555543.60445296753</v>
      </c>
      <c r="C917">
        <f t="shared" si="14"/>
        <v>1</v>
      </c>
    </row>
    <row r="918" spans="1:3" x14ac:dyDescent="0.3">
      <c r="A918">
        <v>917</v>
      </c>
      <c r="B918" s="7">
        <v>10176228.781688323</v>
      </c>
      <c r="C918">
        <f t="shared" si="14"/>
        <v>1</v>
      </c>
    </row>
    <row r="919" spans="1:3" x14ac:dyDescent="0.3">
      <c r="A919">
        <v>918</v>
      </c>
      <c r="B919" s="7">
        <v>12569232.517355023</v>
      </c>
      <c r="C919">
        <f t="shared" si="14"/>
        <v>1</v>
      </c>
    </row>
    <row r="920" spans="1:3" x14ac:dyDescent="0.3">
      <c r="A920">
        <v>919</v>
      </c>
      <c r="B920" s="7">
        <v>5962747.3397041466</v>
      </c>
      <c r="C920">
        <f t="shared" si="14"/>
        <v>1</v>
      </c>
    </row>
    <row r="921" spans="1:3" x14ac:dyDescent="0.3">
      <c r="A921">
        <v>920</v>
      </c>
      <c r="B921" s="7">
        <v>18143728.308435813</v>
      </c>
      <c r="C921">
        <f t="shared" si="14"/>
        <v>1</v>
      </c>
    </row>
    <row r="922" spans="1:3" x14ac:dyDescent="0.3">
      <c r="A922">
        <v>921</v>
      </c>
      <c r="B922" s="7">
        <v>3464385.5210653809</v>
      </c>
      <c r="C922">
        <f t="shared" si="14"/>
        <v>1</v>
      </c>
    </row>
    <row r="923" spans="1:3" x14ac:dyDescent="0.3">
      <c r="A923">
        <v>922</v>
      </c>
      <c r="B923" s="7">
        <v>2977559.0965371323</v>
      </c>
      <c r="C923">
        <f t="shared" si="14"/>
        <v>1</v>
      </c>
    </row>
    <row r="924" spans="1:3" x14ac:dyDescent="0.3">
      <c r="A924">
        <v>923</v>
      </c>
      <c r="B924" s="7">
        <v>6982928.3819440734</v>
      </c>
      <c r="C924">
        <f t="shared" si="14"/>
        <v>1</v>
      </c>
    </row>
    <row r="925" spans="1:3" x14ac:dyDescent="0.3">
      <c r="A925">
        <v>924</v>
      </c>
      <c r="B925" s="7">
        <v>2255172.3693679129</v>
      </c>
      <c r="C925">
        <f t="shared" si="14"/>
        <v>1</v>
      </c>
    </row>
    <row r="926" spans="1:3" x14ac:dyDescent="0.3">
      <c r="A926">
        <v>925</v>
      </c>
      <c r="B926" s="7">
        <v>2270644.7378099277</v>
      </c>
      <c r="C926">
        <f t="shared" si="14"/>
        <v>1</v>
      </c>
    </row>
    <row r="927" spans="1:3" x14ac:dyDescent="0.3">
      <c r="A927">
        <v>926</v>
      </c>
      <c r="B927" s="7">
        <v>461287.97590365243</v>
      </c>
      <c r="C927">
        <f t="shared" si="14"/>
        <v>1</v>
      </c>
    </row>
    <row r="928" spans="1:3" x14ac:dyDescent="0.3">
      <c r="A928">
        <v>927</v>
      </c>
      <c r="B928" s="7">
        <v>3177767.7666349998</v>
      </c>
      <c r="C928">
        <f t="shared" si="14"/>
        <v>1</v>
      </c>
    </row>
    <row r="929" spans="1:3" x14ac:dyDescent="0.3">
      <c r="A929">
        <v>928</v>
      </c>
      <c r="B929" s="7">
        <v>1413475.446923495</v>
      </c>
      <c r="C929">
        <f t="shared" si="14"/>
        <v>1</v>
      </c>
    </row>
    <row r="930" spans="1:3" x14ac:dyDescent="0.3">
      <c r="A930">
        <v>929</v>
      </c>
      <c r="B930" s="7">
        <v>2848588.5463672038</v>
      </c>
      <c r="C930">
        <f t="shared" si="14"/>
        <v>1</v>
      </c>
    </row>
    <row r="931" spans="1:3" x14ac:dyDescent="0.3">
      <c r="A931">
        <v>930</v>
      </c>
      <c r="B931" s="7">
        <v>9951521.2361438088</v>
      </c>
      <c r="C931">
        <f t="shared" si="14"/>
        <v>1</v>
      </c>
    </row>
    <row r="932" spans="1:3" x14ac:dyDescent="0.3">
      <c r="A932">
        <v>931</v>
      </c>
      <c r="B932" s="7">
        <v>3112528.9978080774</v>
      </c>
      <c r="C932">
        <f t="shared" si="14"/>
        <v>1</v>
      </c>
    </row>
    <row r="933" spans="1:3" x14ac:dyDescent="0.3">
      <c r="A933">
        <v>932</v>
      </c>
      <c r="B933" s="7">
        <v>4026737.4234030372</v>
      </c>
      <c r="C933">
        <f t="shared" si="14"/>
        <v>1</v>
      </c>
    </row>
    <row r="934" spans="1:3" x14ac:dyDescent="0.3">
      <c r="A934">
        <v>933</v>
      </c>
      <c r="B934" s="7">
        <v>1444724.1749306771</v>
      </c>
      <c r="C934">
        <f t="shared" si="14"/>
        <v>1</v>
      </c>
    </row>
    <row r="935" spans="1:3" x14ac:dyDescent="0.3">
      <c r="A935">
        <v>934</v>
      </c>
      <c r="B935" s="7">
        <v>2354867.1735330424</v>
      </c>
      <c r="C935">
        <f t="shared" si="14"/>
        <v>1</v>
      </c>
    </row>
    <row r="936" spans="1:3" x14ac:dyDescent="0.3">
      <c r="A936">
        <v>935</v>
      </c>
      <c r="B936" s="7">
        <v>786644.35509680898</v>
      </c>
      <c r="C936">
        <f t="shared" si="14"/>
        <v>1</v>
      </c>
    </row>
    <row r="937" spans="1:3" x14ac:dyDescent="0.3">
      <c r="A937">
        <v>936</v>
      </c>
      <c r="B937" s="7">
        <v>6860454.2450834271</v>
      </c>
      <c r="C937">
        <f t="shared" si="14"/>
        <v>1</v>
      </c>
    </row>
    <row r="938" spans="1:3" x14ac:dyDescent="0.3">
      <c r="A938">
        <v>937</v>
      </c>
      <c r="B938" s="7">
        <v>11447618.319988094</v>
      </c>
      <c r="C938">
        <f t="shared" si="14"/>
        <v>1</v>
      </c>
    </row>
    <row r="939" spans="1:3" x14ac:dyDescent="0.3">
      <c r="A939">
        <v>938</v>
      </c>
      <c r="B939" s="7">
        <v>5614440.5697074644</v>
      </c>
      <c r="C939">
        <f t="shared" si="14"/>
        <v>1</v>
      </c>
    </row>
    <row r="940" spans="1:3" x14ac:dyDescent="0.3">
      <c r="A940">
        <v>939</v>
      </c>
      <c r="B940" s="7">
        <v>6933552.2612147396</v>
      </c>
      <c r="C940">
        <f t="shared" si="14"/>
        <v>1</v>
      </c>
    </row>
    <row r="941" spans="1:3" x14ac:dyDescent="0.3">
      <c r="A941">
        <v>940</v>
      </c>
      <c r="B941" s="7">
        <v>4923619.6558602685</v>
      </c>
      <c r="C941">
        <f t="shared" si="14"/>
        <v>1</v>
      </c>
    </row>
    <row r="942" spans="1:3" x14ac:dyDescent="0.3">
      <c r="A942">
        <v>941</v>
      </c>
      <c r="B942" s="7">
        <v>8222720.7100562304</v>
      </c>
      <c r="C942">
        <f t="shared" si="14"/>
        <v>1</v>
      </c>
    </row>
    <row r="943" spans="1:3" x14ac:dyDescent="0.3">
      <c r="A943">
        <v>942</v>
      </c>
      <c r="B943" s="7">
        <v>2766657.2476101969</v>
      </c>
      <c r="C943">
        <f t="shared" si="14"/>
        <v>1</v>
      </c>
    </row>
    <row r="944" spans="1:3" x14ac:dyDescent="0.3">
      <c r="A944">
        <v>943</v>
      </c>
      <c r="B944" s="7">
        <v>2608451.7671825835</v>
      </c>
      <c r="C944">
        <f t="shared" si="14"/>
        <v>1</v>
      </c>
    </row>
    <row r="945" spans="1:3" x14ac:dyDescent="0.3">
      <c r="A945">
        <v>944</v>
      </c>
      <c r="B945" s="7">
        <v>4068744.7926774891</v>
      </c>
      <c r="C945">
        <f t="shared" si="14"/>
        <v>1</v>
      </c>
    </row>
    <row r="946" spans="1:3" x14ac:dyDescent="0.3">
      <c r="A946">
        <v>945</v>
      </c>
      <c r="B946" s="7">
        <v>1276770.2128657252</v>
      </c>
      <c r="C946">
        <f t="shared" si="14"/>
        <v>1</v>
      </c>
    </row>
    <row r="947" spans="1:3" x14ac:dyDescent="0.3">
      <c r="A947">
        <v>946</v>
      </c>
      <c r="B947" s="7">
        <v>14391878.444058949</v>
      </c>
      <c r="C947">
        <f t="shared" si="14"/>
        <v>1</v>
      </c>
    </row>
    <row r="948" spans="1:3" x14ac:dyDescent="0.3">
      <c r="A948">
        <v>947</v>
      </c>
      <c r="B948" s="7">
        <v>3380658.6062608692</v>
      </c>
      <c r="C948">
        <f t="shared" si="14"/>
        <v>1</v>
      </c>
    </row>
    <row r="949" spans="1:3" x14ac:dyDescent="0.3">
      <c r="A949">
        <v>948</v>
      </c>
      <c r="B949" s="7">
        <v>5018142.7662090324</v>
      </c>
      <c r="C949">
        <f t="shared" si="14"/>
        <v>1</v>
      </c>
    </row>
    <row r="950" spans="1:3" x14ac:dyDescent="0.3">
      <c r="A950">
        <v>949</v>
      </c>
      <c r="B950" s="7">
        <v>0</v>
      </c>
      <c r="C950">
        <f t="shared" si="14"/>
        <v>0</v>
      </c>
    </row>
    <row r="951" spans="1:3" x14ac:dyDescent="0.3">
      <c r="A951">
        <v>950</v>
      </c>
      <c r="B951" s="7">
        <v>7676618.2752369735</v>
      </c>
      <c r="C951">
        <f t="shared" si="14"/>
        <v>1</v>
      </c>
    </row>
    <row r="952" spans="1:3" x14ac:dyDescent="0.3">
      <c r="A952">
        <v>951</v>
      </c>
      <c r="B952" s="7">
        <v>890740.76247268391</v>
      </c>
      <c r="C952">
        <f t="shared" si="14"/>
        <v>1</v>
      </c>
    </row>
    <row r="953" spans="1:3" x14ac:dyDescent="0.3">
      <c r="A953">
        <v>952</v>
      </c>
      <c r="B953" s="7">
        <v>13008768.460933203</v>
      </c>
      <c r="C953">
        <f t="shared" si="14"/>
        <v>1</v>
      </c>
    </row>
    <row r="954" spans="1:3" x14ac:dyDescent="0.3">
      <c r="A954">
        <v>953</v>
      </c>
      <c r="B954" s="7">
        <v>11247475.474211177</v>
      </c>
      <c r="C954">
        <f t="shared" si="14"/>
        <v>1</v>
      </c>
    </row>
    <row r="955" spans="1:3" x14ac:dyDescent="0.3">
      <c r="A955">
        <v>954</v>
      </c>
      <c r="B955" s="7">
        <v>1892015.2323661032</v>
      </c>
      <c r="C955">
        <f t="shared" si="14"/>
        <v>1</v>
      </c>
    </row>
    <row r="956" spans="1:3" x14ac:dyDescent="0.3">
      <c r="A956">
        <v>955</v>
      </c>
      <c r="B956" s="7">
        <v>2866360.6919543133</v>
      </c>
      <c r="C956">
        <f t="shared" si="14"/>
        <v>1</v>
      </c>
    </row>
    <row r="957" spans="1:3" x14ac:dyDescent="0.3">
      <c r="A957">
        <v>956</v>
      </c>
      <c r="B957" s="7">
        <v>5663608.8489442291</v>
      </c>
      <c r="C957">
        <f t="shared" si="14"/>
        <v>1</v>
      </c>
    </row>
    <row r="958" spans="1:3" x14ac:dyDescent="0.3">
      <c r="A958">
        <v>957</v>
      </c>
      <c r="B958" s="7">
        <v>2481252.4272470619</v>
      </c>
      <c r="C958">
        <f t="shared" si="14"/>
        <v>1</v>
      </c>
    </row>
    <row r="959" spans="1:3" x14ac:dyDescent="0.3">
      <c r="A959">
        <v>958</v>
      </c>
      <c r="B959" s="7">
        <v>2409004.7114325915</v>
      </c>
      <c r="C959">
        <f t="shared" si="14"/>
        <v>1</v>
      </c>
    </row>
    <row r="960" spans="1:3" x14ac:dyDescent="0.3">
      <c r="A960">
        <v>959</v>
      </c>
      <c r="B960" s="7">
        <v>77942.981883108441</v>
      </c>
      <c r="C960">
        <f t="shared" si="14"/>
        <v>1</v>
      </c>
    </row>
    <row r="961" spans="1:3" x14ac:dyDescent="0.3">
      <c r="A961">
        <v>960</v>
      </c>
      <c r="B961" s="7">
        <v>4086810.8138756165</v>
      </c>
      <c r="C961">
        <f t="shared" si="14"/>
        <v>1</v>
      </c>
    </row>
    <row r="962" spans="1:3" x14ac:dyDescent="0.3">
      <c r="A962">
        <v>961</v>
      </c>
      <c r="B962" s="7">
        <v>5963921.7655688869</v>
      </c>
      <c r="C962">
        <f t="shared" si="14"/>
        <v>1</v>
      </c>
    </row>
    <row r="963" spans="1:3" x14ac:dyDescent="0.3">
      <c r="A963">
        <v>962</v>
      </c>
      <c r="B963" s="7">
        <v>632422.57623829448</v>
      </c>
      <c r="C963">
        <f t="shared" ref="C963:C1026" si="15">IF(B963=0,0,1)</f>
        <v>1</v>
      </c>
    </row>
    <row r="964" spans="1:3" x14ac:dyDescent="0.3">
      <c r="A964">
        <v>963</v>
      </c>
      <c r="B964" s="7">
        <v>6566498.1990976166</v>
      </c>
      <c r="C964">
        <f t="shared" si="15"/>
        <v>1</v>
      </c>
    </row>
    <row r="965" spans="1:3" x14ac:dyDescent="0.3">
      <c r="A965">
        <v>964</v>
      </c>
      <c r="B965" s="7">
        <v>5142704.1678958358</v>
      </c>
      <c r="C965">
        <f t="shared" si="15"/>
        <v>1</v>
      </c>
    </row>
    <row r="966" spans="1:3" x14ac:dyDescent="0.3">
      <c r="A966">
        <v>965</v>
      </c>
      <c r="B966" s="7">
        <v>7183597.8512770887</v>
      </c>
      <c r="C966">
        <f t="shared" si="15"/>
        <v>1</v>
      </c>
    </row>
    <row r="967" spans="1:3" x14ac:dyDescent="0.3">
      <c r="A967">
        <v>966</v>
      </c>
      <c r="B967" s="7">
        <v>8791156.0378958061</v>
      </c>
      <c r="C967">
        <f t="shared" si="15"/>
        <v>1</v>
      </c>
    </row>
    <row r="968" spans="1:3" x14ac:dyDescent="0.3">
      <c r="A968">
        <v>967</v>
      </c>
      <c r="B968" s="7">
        <v>9785577.9022820592</v>
      </c>
      <c r="C968">
        <f t="shared" si="15"/>
        <v>1</v>
      </c>
    </row>
    <row r="969" spans="1:3" x14ac:dyDescent="0.3">
      <c r="A969">
        <v>968</v>
      </c>
      <c r="B969" s="7">
        <v>3018229.1058610408</v>
      </c>
      <c r="C969">
        <f t="shared" si="15"/>
        <v>1</v>
      </c>
    </row>
    <row r="970" spans="1:3" x14ac:dyDescent="0.3">
      <c r="A970">
        <v>969</v>
      </c>
      <c r="B970" s="7">
        <v>3809851.3833204876</v>
      </c>
      <c r="C970">
        <f t="shared" si="15"/>
        <v>1</v>
      </c>
    </row>
    <row r="971" spans="1:3" x14ac:dyDescent="0.3">
      <c r="A971">
        <v>970</v>
      </c>
      <c r="B971" s="7">
        <v>7913808.2970162509</v>
      </c>
      <c r="C971">
        <f t="shared" si="15"/>
        <v>1</v>
      </c>
    </row>
    <row r="972" spans="1:3" x14ac:dyDescent="0.3">
      <c r="A972">
        <v>971</v>
      </c>
      <c r="B972" s="7">
        <v>581905.42241177859</v>
      </c>
      <c r="C972">
        <f t="shared" si="15"/>
        <v>1</v>
      </c>
    </row>
    <row r="973" spans="1:3" x14ac:dyDescent="0.3">
      <c r="A973">
        <v>972</v>
      </c>
      <c r="B973" s="7">
        <v>7518397.2331659291</v>
      </c>
      <c r="C973">
        <f t="shared" si="15"/>
        <v>1</v>
      </c>
    </row>
    <row r="974" spans="1:3" x14ac:dyDescent="0.3">
      <c r="A974">
        <v>973</v>
      </c>
      <c r="B974" s="7">
        <v>7309370.0695698168</v>
      </c>
      <c r="C974">
        <f t="shared" si="15"/>
        <v>1</v>
      </c>
    </row>
    <row r="975" spans="1:3" x14ac:dyDescent="0.3">
      <c r="A975">
        <v>974</v>
      </c>
      <c r="B975" s="7">
        <v>402128.40951113799</v>
      </c>
      <c r="C975">
        <f t="shared" si="15"/>
        <v>1</v>
      </c>
    </row>
    <row r="976" spans="1:3" x14ac:dyDescent="0.3">
      <c r="A976">
        <v>975</v>
      </c>
      <c r="B976" s="7">
        <v>6516120.5996619994</v>
      </c>
      <c r="C976">
        <f t="shared" si="15"/>
        <v>1</v>
      </c>
    </row>
    <row r="977" spans="1:3" x14ac:dyDescent="0.3">
      <c r="A977">
        <v>976</v>
      </c>
      <c r="B977" s="7">
        <v>6047147.6052714502</v>
      </c>
      <c r="C977">
        <f t="shared" si="15"/>
        <v>1</v>
      </c>
    </row>
    <row r="978" spans="1:3" x14ac:dyDescent="0.3">
      <c r="A978">
        <v>977</v>
      </c>
      <c r="B978" s="7">
        <v>12734410.169909805</v>
      </c>
      <c r="C978">
        <f t="shared" si="15"/>
        <v>1</v>
      </c>
    </row>
    <row r="979" spans="1:3" x14ac:dyDescent="0.3">
      <c r="A979">
        <v>978</v>
      </c>
      <c r="B979" s="7">
        <v>6901990.1536555924</v>
      </c>
      <c r="C979">
        <f t="shared" si="15"/>
        <v>1</v>
      </c>
    </row>
    <row r="980" spans="1:3" x14ac:dyDescent="0.3">
      <c r="A980">
        <v>979</v>
      </c>
      <c r="B980" s="7">
        <v>3438117.2766028401</v>
      </c>
      <c r="C980">
        <f t="shared" si="15"/>
        <v>1</v>
      </c>
    </row>
    <row r="981" spans="1:3" x14ac:dyDescent="0.3">
      <c r="A981">
        <v>980</v>
      </c>
      <c r="B981" s="7">
        <v>2119434.5983069418</v>
      </c>
      <c r="C981">
        <f t="shared" si="15"/>
        <v>1</v>
      </c>
    </row>
    <row r="982" spans="1:3" x14ac:dyDescent="0.3">
      <c r="A982">
        <v>981</v>
      </c>
      <c r="B982" s="7">
        <v>3349822.8804335259</v>
      </c>
      <c r="C982">
        <f t="shared" si="15"/>
        <v>1</v>
      </c>
    </row>
    <row r="983" spans="1:3" x14ac:dyDescent="0.3">
      <c r="A983">
        <v>982</v>
      </c>
      <c r="B983" s="7">
        <v>93899.497593535067</v>
      </c>
      <c r="C983">
        <f t="shared" si="15"/>
        <v>1</v>
      </c>
    </row>
    <row r="984" spans="1:3" x14ac:dyDescent="0.3">
      <c r="A984">
        <v>983</v>
      </c>
      <c r="B984" s="7">
        <v>7661813.9841144616</v>
      </c>
      <c r="C984">
        <f t="shared" si="15"/>
        <v>1</v>
      </c>
    </row>
    <row r="985" spans="1:3" x14ac:dyDescent="0.3">
      <c r="A985">
        <v>984</v>
      </c>
      <c r="B985" s="7">
        <v>0</v>
      </c>
      <c r="C985">
        <f t="shared" si="15"/>
        <v>0</v>
      </c>
    </row>
    <row r="986" spans="1:3" x14ac:dyDescent="0.3">
      <c r="A986">
        <v>985</v>
      </c>
      <c r="B986" s="7">
        <v>1752982.6997027493</v>
      </c>
      <c r="C986">
        <f t="shared" si="15"/>
        <v>1</v>
      </c>
    </row>
    <row r="987" spans="1:3" x14ac:dyDescent="0.3">
      <c r="A987">
        <v>986</v>
      </c>
      <c r="B987" s="7">
        <v>10864602.270268455</v>
      </c>
      <c r="C987">
        <f t="shared" si="15"/>
        <v>1</v>
      </c>
    </row>
    <row r="988" spans="1:3" x14ac:dyDescent="0.3">
      <c r="A988">
        <v>987</v>
      </c>
      <c r="B988" s="7">
        <v>6308516.8042756394</v>
      </c>
      <c r="C988">
        <f t="shared" si="15"/>
        <v>1</v>
      </c>
    </row>
    <row r="989" spans="1:3" x14ac:dyDescent="0.3">
      <c r="A989">
        <v>988</v>
      </c>
      <c r="B989" s="7">
        <v>6841505.7447479935</v>
      </c>
      <c r="C989">
        <f t="shared" si="15"/>
        <v>1</v>
      </c>
    </row>
    <row r="990" spans="1:3" x14ac:dyDescent="0.3">
      <c r="A990">
        <v>989</v>
      </c>
      <c r="B990" s="7">
        <v>2785978.5900089489</v>
      </c>
      <c r="C990">
        <f t="shared" si="15"/>
        <v>1</v>
      </c>
    </row>
    <row r="991" spans="1:3" x14ac:dyDescent="0.3">
      <c r="A991">
        <v>990</v>
      </c>
      <c r="B991" s="7">
        <v>2601036.4388408069</v>
      </c>
      <c r="C991">
        <f t="shared" si="15"/>
        <v>1</v>
      </c>
    </row>
    <row r="992" spans="1:3" x14ac:dyDescent="0.3">
      <c r="A992">
        <v>991</v>
      </c>
      <c r="B992" s="7">
        <v>4815081.1647236506</v>
      </c>
      <c r="C992">
        <f t="shared" si="15"/>
        <v>1</v>
      </c>
    </row>
    <row r="993" spans="1:3" x14ac:dyDescent="0.3">
      <c r="A993">
        <v>992</v>
      </c>
      <c r="B993" s="7">
        <v>3721269.7347496049</v>
      </c>
      <c r="C993">
        <f t="shared" si="15"/>
        <v>1</v>
      </c>
    </row>
    <row r="994" spans="1:3" x14ac:dyDescent="0.3">
      <c r="A994">
        <v>993</v>
      </c>
      <c r="B994" s="7">
        <v>4595536.0151793463</v>
      </c>
      <c r="C994">
        <f t="shared" si="15"/>
        <v>1</v>
      </c>
    </row>
    <row r="995" spans="1:3" x14ac:dyDescent="0.3">
      <c r="A995">
        <v>994</v>
      </c>
      <c r="B995" s="7">
        <v>4890368.9031489845</v>
      </c>
      <c r="C995">
        <f t="shared" si="15"/>
        <v>1</v>
      </c>
    </row>
    <row r="996" spans="1:3" x14ac:dyDescent="0.3">
      <c r="A996">
        <v>995</v>
      </c>
      <c r="B996" s="7">
        <v>998303.73019771941</v>
      </c>
      <c r="C996">
        <f t="shared" si="15"/>
        <v>1</v>
      </c>
    </row>
    <row r="997" spans="1:3" x14ac:dyDescent="0.3">
      <c r="A997">
        <v>996</v>
      </c>
      <c r="B997" s="7">
        <v>11399521.598432217</v>
      </c>
      <c r="C997">
        <f t="shared" si="15"/>
        <v>1</v>
      </c>
    </row>
    <row r="998" spans="1:3" x14ac:dyDescent="0.3">
      <c r="A998">
        <v>997</v>
      </c>
      <c r="B998" s="7">
        <v>1814915.8838487149</v>
      </c>
      <c r="C998">
        <f t="shared" si="15"/>
        <v>1</v>
      </c>
    </row>
    <row r="999" spans="1:3" x14ac:dyDescent="0.3">
      <c r="A999">
        <v>998</v>
      </c>
      <c r="B999" s="7">
        <v>8371557.9099137429</v>
      </c>
      <c r="C999">
        <f t="shared" si="15"/>
        <v>1</v>
      </c>
    </row>
    <row r="1000" spans="1:3" x14ac:dyDescent="0.3">
      <c r="A1000">
        <v>999</v>
      </c>
      <c r="B1000" s="7">
        <v>8180777.0500478316</v>
      </c>
      <c r="C1000">
        <f t="shared" si="15"/>
        <v>1</v>
      </c>
    </row>
    <row r="1001" spans="1:3" x14ac:dyDescent="0.3">
      <c r="A1001">
        <v>1000</v>
      </c>
      <c r="B1001" s="7">
        <v>612128.36093440535</v>
      </c>
      <c r="C1001">
        <f t="shared" si="15"/>
        <v>1</v>
      </c>
    </row>
    <row r="1002" spans="1:3" x14ac:dyDescent="0.3">
      <c r="A1002">
        <v>1001</v>
      </c>
      <c r="B1002" s="7">
        <v>3413708.7609223076</v>
      </c>
      <c r="C1002">
        <f t="shared" si="15"/>
        <v>1</v>
      </c>
    </row>
    <row r="1003" spans="1:3" x14ac:dyDescent="0.3">
      <c r="A1003">
        <v>1002</v>
      </c>
      <c r="B1003" s="7">
        <v>1114170.7513905712</v>
      </c>
      <c r="C1003">
        <f t="shared" si="15"/>
        <v>1</v>
      </c>
    </row>
    <row r="1004" spans="1:3" x14ac:dyDescent="0.3">
      <c r="A1004">
        <v>1003</v>
      </c>
      <c r="B1004" s="7">
        <v>8538805.4967635181</v>
      </c>
      <c r="C1004">
        <f t="shared" si="15"/>
        <v>1</v>
      </c>
    </row>
    <row r="1005" spans="1:3" x14ac:dyDescent="0.3">
      <c r="A1005">
        <v>1004</v>
      </c>
      <c r="B1005" s="7">
        <v>2022910.7345731407</v>
      </c>
      <c r="C1005">
        <f t="shared" si="15"/>
        <v>1</v>
      </c>
    </row>
    <row r="1006" spans="1:3" x14ac:dyDescent="0.3">
      <c r="A1006">
        <v>1005</v>
      </c>
      <c r="B1006" s="7">
        <v>1256490.5179613342</v>
      </c>
      <c r="C1006">
        <f t="shared" si="15"/>
        <v>1</v>
      </c>
    </row>
    <row r="1007" spans="1:3" x14ac:dyDescent="0.3">
      <c r="A1007">
        <v>1006</v>
      </c>
      <c r="B1007" s="7">
        <v>5609668.8113712901</v>
      </c>
      <c r="C1007">
        <f t="shared" si="15"/>
        <v>1</v>
      </c>
    </row>
    <row r="1008" spans="1:3" x14ac:dyDescent="0.3">
      <c r="A1008">
        <v>1007</v>
      </c>
      <c r="B1008" s="7">
        <v>3009099.2956205825</v>
      </c>
      <c r="C1008">
        <f t="shared" si="15"/>
        <v>1</v>
      </c>
    </row>
    <row r="1009" spans="1:3" x14ac:dyDescent="0.3">
      <c r="A1009">
        <v>1008</v>
      </c>
      <c r="B1009" s="7">
        <v>2224056.3452137187</v>
      </c>
      <c r="C1009">
        <f t="shared" si="15"/>
        <v>1</v>
      </c>
    </row>
    <row r="1010" spans="1:3" x14ac:dyDescent="0.3">
      <c r="A1010">
        <v>1009</v>
      </c>
      <c r="B1010" s="7">
        <v>8452075.8027557563</v>
      </c>
      <c r="C1010">
        <f t="shared" si="15"/>
        <v>1</v>
      </c>
    </row>
    <row r="1011" spans="1:3" x14ac:dyDescent="0.3">
      <c r="A1011">
        <v>1010</v>
      </c>
      <c r="B1011" s="7">
        <v>4048712.8888495835</v>
      </c>
      <c r="C1011">
        <f t="shared" si="15"/>
        <v>1</v>
      </c>
    </row>
    <row r="1012" spans="1:3" x14ac:dyDescent="0.3">
      <c r="A1012">
        <v>1011</v>
      </c>
      <c r="B1012" s="7">
        <v>8043424.2362522222</v>
      </c>
      <c r="C1012">
        <f t="shared" si="15"/>
        <v>1</v>
      </c>
    </row>
    <row r="1013" spans="1:3" x14ac:dyDescent="0.3">
      <c r="A1013">
        <v>1012</v>
      </c>
      <c r="B1013" s="7">
        <v>5907354.1265248498</v>
      </c>
      <c r="C1013">
        <f t="shared" si="15"/>
        <v>1</v>
      </c>
    </row>
    <row r="1014" spans="1:3" x14ac:dyDescent="0.3">
      <c r="A1014">
        <v>1013</v>
      </c>
      <c r="B1014" s="7">
        <v>813731.48835949693</v>
      </c>
      <c r="C1014">
        <f t="shared" si="15"/>
        <v>1</v>
      </c>
    </row>
    <row r="1015" spans="1:3" x14ac:dyDescent="0.3">
      <c r="A1015">
        <v>1014</v>
      </c>
      <c r="B1015" s="7">
        <v>2970804.7899241489</v>
      </c>
      <c r="C1015">
        <f t="shared" si="15"/>
        <v>1</v>
      </c>
    </row>
    <row r="1016" spans="1:3" x14ac:dyDescent="0.3">
      <c r="A1016">
        <v>1015</v>
      </c>
      <c r="B1016" s="7">
        <v>3749272.0816290993</v>
      </c>
      <c r="C1016">
        <f t="shared" si="15"/>
        <v>1</v>
      </c>
    </row>
    <row r="1017" spans="1:3" x14ac:dyDescent="0.3">
      <c r="A1017">
        <v>1016</v>
      </c>
      <c r="B1017" s="7">
        <v>1473224.7047672546</v>
      </c>
      <c r="C1017">
        <f t="shared" si="15"/>
        <v>1</v>
      </c>
    </row>
    <row r="1018" spans="1:3" x14ac:dyDescent="0.3">
      <c r="A1018">
        <v>1017</v>
      </c>
      <c r="B1018" s="7">
        <v>5027032.8426082954</v>
      </c>
      <c r="C1018">
        <f t="shared" si="15"/>
        <v>1</v>
      </c>
    </row>
    <row r="1019" spans="1:3" x14ac:dyDescent="0.3">
      <c r="A1019">
        <v>1018</v>
      </c>
      <c r="B1019" s="7">
        <v>3130566.3104397794</v>
      </c>
      <c r="C1019">
        <f t="shared" si="15"/>
        <v>1</v>
      </c>
    </row>
    <row r="1020" spans="1:3" x14ac:dyDescent="0.3">
      <c r="A1020">
        <v>1019</v>
      </c>
      <c r="B1020" s="7">
        <v>7167302.1114910254</v>
      </c>
      <c r="C1020">
        <f t="shared" si="15"/>
        <v>1</v>
      </c>
    </row>
    <row r="1021" spans="1:3" x14ac:dyDescent="0.3">
      <c r="A1021">
        <v>1020</v>
      </c>
      <c r="B1021" s="7">
        <v>9044127.7159828302</v>
      </c>
      <c r="C1021">
        <f t="shared" si="15"/>
        <v>1</v>
      </c>
    </row>
    <row r="1022" spans="1:3" x14ac:dyDescent="0.3">
      <c r="A1022">
        <v>1021</v>
      </c>
      <c r="B1022" s="7">
        <v>9713524.5514265932</v>
      </c>
      <c r="C1022">
        <f t="shared" si="15"/>
        <v>1</v>
      </c>
    </row>
    <row r="1023" spans="1:3" x14ac:dyDescent="0.3">
      <c r="A1023">
        <v>1022</v>
      </c>
      <c r="B1023" s="7">
        <v>6090336.2160093738</v>
      </c>
      <c r="C1023">
        <f t="shared" si="15"/>
        <v>1</v>
      </c>
    </row>
    <row r="1024" spans="1:3" x14ac:dyDescent="0.3">
      <c r="A1024">
        <v>1023</v>
      </c>
      <c r="B1024" s="7">
        <v>2903759.5268372246</v>
      </c>
      <c r="C1024">
        <f t="shared" si="15"/>
        <v>1</v>
      </c>
    </row>
    <row r="1025" spans="1:3" x14ac:dyDescent="0.3">
      <c r="A1025">
        <v>1024</v>
      </c>
      <c r="B1025" s="7">
        <v>6220395.1280109202</v>
      </c>
      <c r="C1025">
        <f t="shared" si="15"/>
        <v>1</v>
      </c>
    </row>
    <row r="1026" spans="1:3" x14ac:dyDescent="0.3">
      <c r="A1026">
        <v>1025</v>
      </c>
      <c r="B1026" s="7">
        <v>6745318.9592731223</v>
      </c>
      <c r="C1026">
        <f t="shared" si="15"/>
        <v>1</v>
      </c>
    </row>
    <row r="1027" spans="1:3" x14ac:dyDescent="0.3">
      <c r="A1027">
        <v>1026</v>
      </c>
      <c r="B1027" s="7">
        <v>5223727.591501954</v>
      </c>
      <c r="C1027">
        <f t="shared" ref="C1027:C1090" si="16">IF(B1027=0,0,1)</f>
        <v>1</v>
      </c>
    </row>
    <row r="1028" spans="1:3" x14ac:dyDescent="0.3">
      <c r="A1028">
        <v>1027</v>
      </c>
      <c r="B1028" s="7">
        <v>3611564.0603691535</v>
      </c>
      <c r="C1028">
        <f t="shared" si="16"/>
        <v>1</v>
      </c>
    </row>
    <row r="1029" spans="1:3" x14ac:dyDescent="0.3">
      <c r="A1029">
        <v>1028</v>
      </c>
      <c r="B1029" s="7">
        <v>2742542.4628045042</v>
      </c>
      <c r="C1029">
        <f t="shared" si="16"/>
        <v>1</v>
      </c>
    </row>
    <row r="1030" spans="1:3" x14ac:dyDescent="0.3">
      <c r="A1030">
        <v>1029</v>
      </c>
      <c r="B1030" s="7">
        <v>10757428.640812954</v>
      </c>
      <c r="C1030">
        <f t="shared" si="16"/>
        <v>1</v>
      </c>
    </row>
    <row r="1031" spans="1:3" x14ac:dyDescent="0.3">
      <c r="A1031">
        <v>1030</v>
      </c>
      <c r="B1031" s="7">
        <v>13862504.89999333</v>
      </c>
      <c r="C1031">
        <f t="shared" si="16"/>
        <v>1</v>
      </c>
    </row>
    <row r="1032" spans="1:3" x14ac:dyDescent="0.3">
      <c r="A1032">
        <v>1031</v>
      </c>
      <c r="B1032" s="7">
        <v>14187890.006291345</v>
      </c>
      <c r="C1032">
        <f t="shared" si="16"/>
        <v>1</v>
      </c>
    </row>
    <row r="1033" spans="1:3" x14ac:dyDescent="0.3">
      <c r="A1033">
        <v>1032</v>
      </c>
      <c r="B1033" s="7">
        <v>4853403.3452192331</v>
      </c>
      <c r="C1033">
        <f t="shared" si="16"/>
        <v>1</v>
      </c>
    </row>
    <row r="1034" spans="1:3" x14ac:dyDescent="0.3">
      <c r="A1034">
        <v>1033</v>
      </c>
      <c r="B1034" s="7">
        <v>2910128.2672336604</v>
      </c>
      <c r="C1034">
        <f t="shared" si="16"/>
        <v>1</v>
      </c>
    </row>
    <row r="1035" spans="1:3" x14ac:dyDescent="0.3">
      <c r="A1035">
        <v>1034</v>
      </c>
      <c r="B1035" s="7">
        <v>1472150.3261458555</v>
      </c>
      <c r="C1035">
        <f t="shared" si="16"/>
        <v>1</v>
      </c>
    </row>
    <row r="1036" spans="1:3" x14ac:dyDescent="0.3">
      <c r="A1036">
        <v>1035</v>
      </c>
      <c r="B1036" s="7">
        <v>12202575.831471534</v>
      </c>
      <c r="C1036">
        <f t="shared" si="16"/>
        <v>1</v>
      </c>
    </row>
    <row r="1037" spans="1:3" x14ac:dyDescent="0.3">
      <c r="A1037">
        <v>1036</v>
      </c>
      <c r="B1037" s="7">
        <v>6775483.7933900822</v>
      </c>
      <c r="C1037">
        <f t="shared" si="16"/>
        <v>1</v>
      </c>
    </row>
    <row r="1038" spans="1:3" x14ac:dyDescent="0.3">
      <c r="A1038">
        <v>1037</v>
      </c>
      <c r="B1038" s="7">
        <v>4007717.1026181835</v>
      </c>
      <c r="C1038">
        <f t="shared" si="16"/>
        <v>1</v>
      </c>
    </row>
    <row r="1039" spans="1:3" x14ac:dyDescent="0.3">
      <c r="A1039">
        <v>1038</v>
      </c>
      <c r="B1039" s="7">
        <v>1440391.1478786732</v>
      </c>
      <c r="C1039">
        <f t="shared" si="16"/>
        <v>1</v>
      </c>
    </row>
    <row r="1040" spans="1:3" x14ac:dyDescent="0.3">
      <c r="A1040">
        <v>1039</v>
      </c>
      <c r="B1040" s="7">
        <v>1760521.2793069023</v>
      </c>
      <c r="C1040">
        <f t="shared" si="16"/>
        <v>1</v>
      </c>
    </row>
    <row r="1041" spans="1:3" x14ac:dyDescent="0.3">
      <c r="A1041">
        <v>1040</v>
      </c>
      <c r="B1041" s="7">
        <v>11836853.925961245</v>
      </c>
      <c r="C1041">
        <f t="shared" si="16"/>
        <v>1</v>
      </c>
    </row>
    <row r="1042" spans="1:3" x14ac:dyDescent="0.3">
      <c r="A1042">
        <v>1041</v>
      </c>
      <c r="B1042" s="7">
        <v>6408334.0441020792</v>
      </c>
      <c r="C1042">
        <f t="shared" si="16"/>
        <v>1</v>
      </c>
    </row>
    <row r="1043" spans="1:3" x14ac:dyDescent="0.3">
      <c r="A1043">
        <v>1042</v>
      </c>
      <c r="B1043" s="7">
        <v>1704469.9915267015</v>
      </c>
      <c r="C1043">
        <f t="shared" si="16"/>
        <v>1</v>
      </c>
    </row>
    <row r="1044" spans="1:3" x14ac:dyDescent="0.3">
      <c r="A1044">
        <v>1043</v>
      </c>
      <c r="B1044" s="7">
        <v>8065539.1289143888</v>
      </c>
      <c r="C1044">
        <f t="shared" si="16"/>
        <v>1</v>
      </c>
    </row>
    <row r="1045" spans="1:3" x14ac:dyDescent="0.3">
      <c r="A1045">
        <v>1044</v>
      </c>
      <c r="B1045" s="7">
        <v>13651986.40310418</v>
      </c>
      <c r="C1045">
        <f t="shared" si="16"/>
        <v>1</v>
      </c>
    </row>
    <row r="1046" spans="1:3" x14ac:dyDescent="0.3">
      <c r="A1046">
        <v>1045</v>
      </c>
      <c r="B1046" s="7">
        <v>4016554.2939589457</v>
      </c>
      <c r="C1046">
        <f t="shared" si="16"/>
        <v>1</v>
      </c>
    </row>
    <row r="1047" spans="1:3" x14ac:dyDescent="0.3">
      <c r="A1047">
        <v>1046</v>
      </c>
      <c r="B1047" s="7">
        <v>20029613.360137746</v>
      </c>
      <c r="C1047">
        <f t="shared" si="16"/>
        <v>1</v>
      </c>
    </row>
    <row r="1048" spans="1:3" x14ac:dyDescent="0.3">
      <c r="A1048">
        <v>1047</v>
      </c>
      <c r="B1048" s="7">
        <v>1820.4088332818383</v>
      </c>
      <c r="C1048">
        <f t="shared" si="16"/>
        <v>1</v>
      </c>
    </row>
    <row r="1049" spans="1:3" x14ac:dyDescent="0.3">
      <c r="A1049">
        <v>1048</v>
      </c>
      <c r="B1049" s="7">
        <v>7418605.6053114673</v>
      </c>
      <c r="C1049">
        <f t="shared" si="16"/>
        <v>1</v>
      </c>
    </row>
    <row r="1050" spans="1:3" x14ac:dyDescent="0.3">
      <c r="A1050">
        <v>1049</v>
      </c>
      <c r="B1050" s="7">
        <v>5916378.0503491787</v>
      </c>
      <c r="C1050">
        <f t="shared" si="16"/>
        <v>1</v>
      </c>
    </row>
    <row r="1051" spans="1:3" x14ac:dyDescent="0.3">
      <c r="A1051">
        <v>1050</v>
      </c>
      <c r="B1051" s="7">
        <v>3175153.1792458654</v>
      </c>
      <c r="C1051">
        <f t="shared" si="16"/>
        <v>1</v>
      </c>
    </row>
    <row r="1052" spans="1:3" x14ac:dyDescent="0.3">
      <c r="A1052">
        <v>1051</v>
      </c>
      <c r="B1052" s="7">
        <v>0</v>
      </c>
      <c r="C1052">
        <f t="shared" si="16"/>
        <v>0</v>
      </c>
    </row>
    <row r="1053" spans="1:3" x14ac:dyDescent="0.3">
      <c r="A1053">
        <v>1052</v>
      </c>
      <c r="B1053" s="7">
        <v>2472363.3177651749</v>
      </c>
      <c r="C1053">
        <f t="shared" si="16"/>
        <v>1</v>
      </c>
    </row>
    <row r="1054" spans="1:3" x14ac:dyDescent="0.3">
      <c r="A1054">
        <v>1053</v>
      </c>
      <c r="B1054" s="7">
        <v>4797883.6920409845</v>
      </c>
      <c r="C1054">
        <f t="shared" si="16"/>
        <v>1</v>
      </c>
    </row>
    <row r="1055" spans="1:3" x14ac:dyDescent="0.3">
      <c r="A1055">
        <v>1054</v>
      </c>
      <c r="B1055" s="7">
        <v>1875286.7074788616</v>
      </c>
      <c r="C1055">
        <f t="shared" si="16"/>
        <v>1</v>
      </c>
    </row>
    <row r="1056" spans="1:3" x14ac:dyDescent="0.3">
      <c r="A1056">
        <v>1055</v>
      </c>
      <c r="B1056" s="7">
        <v>1496504.0480693541</v>
      </c>
      <c r="C1056">
        <f t="shared" si="16"/>
        <v>1</v>
      </c>
    </row>
    <row r="1057" spans="1:3" x14ac:dyDescent="0.3">
      <c r="A1057">
        <v>1056</v>
      </c>
      <c r="B1057" s="7">
        <v>3771097.8600917701</v>
      </c>
      <c r="C1057">
        <f t="shared" si="16"/>
        <v>1</v>
      </c>
    </row>
    <row r="1058" spans="1:3" x14ac:dyDescent="0.3">
      <c r="A1058">
        <v>1057</v>
      </c>
      <c r="B1058" s="7">
        <v>8051588.4638921814</v>
      </c>
      <c r="C1058">
        <f t="shared" si="16"/>
        <v>1</v>
      </c>
    </row>
    <row r="1059" spans="1:3" x14ac:dyDescent="0.3">
      <c r="A1059">
        <v>1058</v>
      </c>
      <c r="B1059" s="7">
        <v>7069131.1737537198</v>
      </c>
      <c r="C1059">
        <f t="shared" si="16"/>
        <v>1</v>
      </c>
    </row>
    <row r="1060" spans="1:3" x14ac:dyDescent="0.3">
      <c r="A1060">
        <v>1059</v>
      </c>
      <c r="B1060" s="7">
        <v>17204411.374147519</v>
      </c>
      <c r="C1060">
        <f t="shared" si="16"/>
        <v>1</v>
      </c>
    </row>
    <row r="1061" spans="1:3" x14ac:dyDescent="0.3">
      <c r="A1061">
        <v>1060</v>
      </c>
      <c r="B1061" s="7">
        <v>18582896.038586106</v>
      </c>
      <c r="C1061">
        <f t="shared" si="16"/>
        <v>1</v>
      </c>
    </row>
    <row r="1062" spans="1:3" x14ac:dyDescent="0.3">
      <c r="A1062">
        <v>1061</v>
      </c>
      <c r="B1062" s="7">
        <v>3262276.8423418673</v>
      </c>
      <c r="C1062">
        <f t="shared" si="16"/>
        <v>1</v>
      </c>
    </row>
    <row r="1063" spans="1:3" x14ac:dyDescent="0.3">
      <c r="A1063">
        <v>1062</v>
      </c>
      <c r="B1063" s="7">
        <v>12419025.946984172</v>
      </c>
      <c r="C1063">
        <f t="shared" si="16"/>
        <v>1</v>
      </c>
    </row>
    <row r="1064" spans="1:3" x14ac:dyDescent="0.3">
      <c r="A1064">
        <v>1063</v>
      </c>
      <c r="B1064" s="7">
        <v>2172019.3927858421</v>
      </c>
      <c r="C1064">
        <f t="shared" si="16"/>
        <v>1</v>
      </c>
    </row>
    <row r="1065" spans="1:3" x14ac:dyDescent="0.3">
      <c r="A1065">
        <v>1064</v>
      </c>
      <c r="B1065" s="7">
        <v>8211903.4092406426</v>
      </c>
      <c r="C1065">
        <f t="shared" si="16"/>
        <v>1</v>
      </c>
    </row>
    <row r="1066" spans="1:3" x14ac:dyDescent="0.3">
      <c r="A1066">
        <v>1065</v>
      </c>
      <c r="B1066" s="7">
        <v>2238492.4150411263</v>
      </c>
      <c r="C1066">
        <f t="shared" si="16"/>
        <v>1</v>
      </c>
    </row>
    <row r="1067" spans="1:3" x14ac:dyDescent="0.3">
      <c r="A1067">
        <v>1066</v>
      </c>
      <c r="B1067" s="7">
        <v>3626366.3794840854</v>
      </c>
      <c r="C1067">
        <f t="shared" si="16"/>
        <v>1</v>
      </c>
    </row>
    <row r="1068" spans="1:3" x14ac:dyDescent="0.3">
      <c r="A1068">
        <v>1067</v>
      </c>
      <c r="B1068" s="7">
        <v>15522949.276623799</v>
      </c>
      <c r="C1068">
        <f t="shared" si="16"/>
        <v>1</v>
      </c>
    </row>
    <row r="1069" spans="1:3" x14ac:dyDescent="0.3">
      <c r="A1069">
        <v>1068</v>
      </c>
      <c r="B1069" s="7">
        <v>13213752.514141576</v>
      </c>
      <c r="C1069">
        <f t="shared" si="16"/>
        <v>1</v>
      </c>
    </row>
    <row r="1070" spans="1:3" x14ac:dyDescent="0.3">
      <c r="A1070">
        <v>1069</v>
      </c>
      <c r="B1070" s="7">
        <v>17123965.501649521</v>
      </c>
      <c r="C1070">
        <f t="shared" si="16"/>
        <v>1</v>
      </c>
    </row>
    <row r="1071" spans="1:3" x14ac:dyDescent="0.3">
      <c r="A1071">
        <v>1070</v>
      </c>
      <c r="B1071" s="7">
        <v>5958901.7882618597</v>
      </c>
      <c r="C1071">
        <f t="shared" si="16"/>
        <v>1</v>
      </c>
    </row>
    <row r="1072" spans="1:3" x14ac:dyDescent="0.3">
      <c r="A1072">
        <v>1071</v>
      </c>
      <c r="B1072" s="7">
        <v>10272487.710750178</v>
      </c>
      <c r="C1072">
        <f t="shared" si="16"/>
        <v>1</v>
      </c>
    </row>
    <row r="1073" spans="1:3" x14ac:dyDescent="0.3">
      <c r="A1073">
        <v>1072</v>
      </c>
      <c r="B1073" s="7">
        <v>6761197.8235191861</v>
      </c>
      <c r="C1073">
        <f t="shared" si="16"/>
        <v>1</v>
      </c>
    </row>
    <row r="1074" spans="1:3" x14ac:dyDescent="0.3">
      <c r="A1074">
        <v>1073</v>
      </c>
      <c r="B1074" s="7">
        <v>6181133.2328027338</v>
      </c>
      <c r="C1074">
        <f t="shared" si="16"/>
        <v>1</v>
      </c>
    </row>
    <row r="1075" spans="1:3" x14ac:dyDescent="0.3">
      <c r="A1075">
        <v>1074</v>
      </c>
      <c r="B1075" s="7">
        <v>6546086.812321174</v>
      </c>
      <c r="C1075">
        <f t="shared" si="16"/>
        <v>1</v>
      </c>
    </row>
    <row r="1076" spans="1:3" x14ac:dyDescent="0.3">
      <c r="A1076">
        <v>1075</v>
      </c>
      <c r="B1076" s="7">
        <v>5000231.5882058349</v>
      </c>
      <c r="C1076">
        <f t="shared" si="16"/>
        <v>1</v>
      </c>
    </row>
    <row r="1077" spans="1:3" x14ac:dyDescent="0.3">
      <c r="A1077">
        <v>1076</v>
      </c>
      <c r="B1077" s="7">
        <v>2787.316234388376</v>
      </c>
      <c r="C1077">
        <f t="shared" si="16"/>
        <v>1</v>
      </c>
    </row>
    <row r="1078" spans="1:3" x14ac:dyDescent="0.3">
      <c r="A1078">
        <v>1077</v>
      </c>
      <c r="B1078" s="7">
        <v>1892185.1755108971</v>
      </c>
      <c r="C1078">
        <f t="shared" si="16"/>
        <v>1</v>
      </c>
    </row>
    <row r="1079" spans="1:3" x14ac:dyDescent="0.3">
      <c r="A1079">
        <v>1078</v>
      </c>
      <c r="B1079" s="7">
        <v>3253678.0679216566</v>
      </c>
      <c r="C1079">
        <f t="shared" si="16"/>
        <v>1</v>
      </c>
    </row>
    <row r="1080" spans="1:3" x14ac:dyDescent="0.3">
      <c r="A1080">
        <v>1079</v>
      </c>
      <c r="B1080" s="7">
        <v>3661335.6099459697</v>
      </c>
      <c r="C1080">
        <f t="shared" si="16"/>
        <v>1</v>
      </c>
    </row>
    <row r="1081" spans="1:3" x14ac:dyDescent="0.3">
      <c r="A1081">
        <v>1080</v>
      </c>
      <c r="B1081" s="7">
        <v>2470728.0431713574</v>
      </c>
      <c r="C1081">
        <f t="shared" si="16"/>
        <v>1</v>
      </c>
    </row>
    <row r="1082" spans="1:3" x14ac:dyDescent="0.3">
      <c r="A1082">
        <v>1081</v>
      </c>
      <c r="B1082" s="7">
        <v>4366520.395084722</v>
      </c>
      <c r="C1082">
        <f t="shared" si="16"/>
        <v>1</v>
      </c>
    </row>
    <row r="1083" spans="1:3" x14ac:dyDescent="0.3">
      <c r="A1083">
        <v>1082</v>
      </c>
      <c r="B1083" s="7">
        <v>15392928.429132102</v>
      </c>
      <c r="C1083">
        <f t="shared" si="16"/>
        <v>1</v>
      </c>
    </row>
    <row r="1084" spans="1:3" x14ac:dyDescent="0.3">
      <c r="A1084">
        <v>1083</v>
      </c>
      <c r="B1084" s="7">
        <v>5427702.2305382742</v>
      </c>
      <c r="C1084">
        <f t="shared" si="16"/>
        <v>1</v>
      </c>
    </row>
    <row r="1085" spans="1:3" x14ac:dyDescent="0.3">
      <c r="A1085">
        <v>1084</v>
      </c>
      <c r="B1085" s="7">
        <v>2399588.5107216244</v>
      </c>
      <c r="C1085">
        <f t="shared" si="16"/>
        <v>1</v>
      </c>
    </row>
    <row r="1086" spans="1:3" x14ac:dyDescent="0.3">
      <c r="A1086">
        <v>1085</v>
      </c>
      <c r="B1086" s="7">
        <v>5784624.082029134</v>
      </c>
      <c r="C1086">
        <f t="shared" si="16"/>
        <v>1</v>
      </c>
    </row>
    <row r="1087" spans="1:3" x14ac:dyDescent="0.3">
      <c r="A1087">
        <v>1086</v>
      </c>
      <c r="B1087" s="7">
        <v>3644509.7332094149</v>
      </c>
      <c r="C1087">
        <f t="shared" si="16"/>
        <v>1</v>
      </c>
    </row>
    <row r="1088" spans="1:3" x14ac:dyDescent="0.3">
      <c r="A1088">
        <v>1087</v>
      </c>
      <c r="B1088" s="7">
        <v>2321731.5515234908</v>
      </c>
      <c r="C1088">
        <f t="shared" si="16"/>
        <v>1</v>
      </c>
    </row>
    <row r="1089" spans="1:3" x14ac:dyDescent="0.3">
      <c r="A1089">
        <v>1088</v>
      </c>
      <c r="B1089" s="7">
        <v>2848168.7292450722</v>
      </c>
      <c r="C1089">
        <f t="shared" si="16"/>
        <v>1</v>
      </c>
    </row>
    <row r="1090" spans="1:3" x14ac:dyDescent="0.3">
      <c r="A1090">
        <v>1089</v>
      </c>
      <c r="B1090" s="7">
        <v>6669057.4319871124</v>
      </c>
      <c r="C1090">
        <f t="shared" si="16"/>
        <v>1</v>
      </c>
    </row>
    <row r="1091" spans="1:3" x14ac:dyDescent="0.3">
      <c r="A1091">
        <v>1090</v>
      </c>
      <c r="B1091" s="7">
        <v>2636105.6590981972</v>
      </c>
      <c r="C1091">
        <f t="shared" ref="C1091:C1154" si="17">IF(B1091=0,0,1)</f>
        <v>1</v>
      </c>
    </row>
    <row r="1092" spans="1:3" x14ac:dyDescent="0.3">
      <c r="A1092">
        <v>1091</v>
      </c>
      <c r="B1092" s="7">
        <v>3914209.6366740768</v>
      </c>
      <c r="C1092">
        <f t="shared" si="17"/>
        <v>1</v>
      </c>
    </row>
    <row r="1093" spans="1:3" x14ac:dyDescent="0.3">
      <c r="A1093">
        <v>1092</v>
      </c>
      <c r="B1093" s="7">
        <v>4645685.5389306461</v>
      </c>
      <c r="C1093">
        <f t="shared" si="17"/>
        <v>1</v>
      </c>
    </row>
    <row r="1094" spans="1:3" x14ac:dyDescent="0.3">
      <c r="A1094">
        <v>1093</v>
      </c>
      <c r="B1094" s="7">
        <v>4076306.5174271008</v>
      </c>
      <c r="C1094">
        <f t="shared" si="17"/>
        <v>1</v>
      </c>
    </row>
    <row r="1095" spans="1:3" x14ac:dyDescent="0.3">
      <c r="A1095">
        <v>1094</v>
      </c>
      <c r="B1095" s="7">
        <v>2468621.5863974406</v>
      </c>
      <c r="C1095">
        <f t="shared" si="17"/>
        <v>1</v>
      </c>
    </row>
    <row r="1096" spans="1:3" x14ac:dyDescent="0.3">
      <c r="A1096">
        <v>1095</v>
      </c>
      <c r="B1096" s="7">
        <v>6853801.1330443965</v>
      </c>
      <c r="C1096">
        <f t="shared" si="17"/>
        <v>1</v>
      </c>
    </row>
    <row r="1097" spans="1:3" x14ac:dyDescent="0.3">
      <c r="A1097">
        <v>1096</v>
      </c>
      <c r="B1097" s="7">
        <v>4386043.2685930338</v>
      </c>
      <c r="C1097">
        <f t="shared" si="17"/>
        <v>1</v>
      </c>
    </row>
    <row r="1098" spans="1:3" x14ac:dyDescent="0.3">
      <c r="A1098">
        <v>1097</v>
      </c>
      <c r="B1098" s="7">
        <v>5179300.7974270992</v>
      </c>
      <c r="C1098">
        <f t="shared" si="17"/>
        <v>1</v>
      </c>
    </row>
    <row r="1099" spans="1:3" x14ac:dyDescent="0.3">
      <c r="A1099">
        <v>1098</v>
      </c>
      <c r="B1099" s="7">
        <v>3360632.0303196837</v>
      </c>
      <c r="C1099">
        <f t="shared" si="17"/>
        <v>1</v>
      </c>
    </row>
    <row r="1100" spans="1:3" x14ac:dyDescent="0.3">
      <c r="A1100">
        <v>1099</v>
      </c>
      <c r="B1100" s="7">
        <v>10767889.377459951</v>
      </c>
      <c r="C1100">
        <f t="shared" si="17"/>
        <v>1</v>
      </c>
    </row>
    <row r="1101" spans="1:3" x14ac:dyDescent="0.3">
      <c r="A1101">
        <v>1100</v>
      </c>
      <c r="B1101" s="7">
        <v>12024230.859527225</v>
      </c>
      <c r="C1101">
        <f t="shared" si="17"/>
        <v>1</v>
      </c>
    </row>
    <row r="1102" spans="1:3" x14ac:dyDescent="0.3">
      <c r="A1102">
        <v>1101</v>
      </c>
      <c r="B1102" s="7">
        <v>6551010.6793805379</v>
      </c>
      <c r="C1102">
        <f t="shared" si="17"/>
        <v>1</v>
      </c>
    </row>
    <row r="1103" spans="1:3" x14ac:dyDescent="0.3">
      <c r="A1103">
        <v>1102</v>
      </c>
      <c r="B1103" s="7">
        <v>7521226.6451629084</v>
      </c>
      <c r="C1103">
        <f t="shared" si="17"/>
        <v>1</v>
      </c>
    </row>
    <row r="1104" spans="1:3" x14ac:dyDescent="0.3">
      <c r="A1104">
        <v>1103</v>
      </c>
      <c r="B1104" s="7">
        <v>13353228.18158651</v>
      </c>
      <c r="C1104">
        <f t="shared" si="17"/>
        <v>1</v>
      </c>
    </row>
    <row r="1105" spans="1:3" x14ac:dyDescent="0.3">
      <c r="A1105">
        <v>1104</v>
      </c>
      <c r="B1105" s="7">
        <v>3821842.4487028513</v>
      </c>
      <c r="C1105">
        <f t="shared" si="17"/>
        <v>1</v>
      </c>
    </row>
    <row r="1106" spans="1:3" x14ac:dyDescent="0.3">
      <c r="A1106">
        <v>1105</v>
      </c>
      <c r="B1106" s="7">
        <v>2096058.9609035223</v>
      </c>
      <c r="C1106">
        <f t="shared" si="17"/>
        <v>1</v>
      </c>
    </row>
    <row r="1107" spans="1:3" x14ac:dyDescent="0.3">
      <c r="A1107">
        <v>1106</v>
      </c>
      <c r="B1107" s="7">
        <v>3338069.4206230971</v>
      </c>
      <c r="C1107">
        <f t="shared" si="17"/>
        <v>1</v>
      </c>
    </row>
    <row r="1108" spans="1:3" x14ac:dyDescent="0.3">
      <c r="A1108">
        <v>1107</v>
      </c>
      <c r="B1108" s="7">
        <v>5374104.1900020456</v>
      </c>
      <c r="C1108">
        <f t="shared" si="17"/>
        <v>1</v>
      </c>
    </row>
    <row r="1109" spans="1:3" x14ac:dyDescent="0.3">
      <c r="A1109">
        <v>1108</v>
      </c>
      <c r="B1109" s="7">
        <v>2594874.4831308518</v>
      </c>
      <c r="C1109">
        <f t="shared" si="17"/>
        <v>1</v>
      </c>
    </row>
    <row r="1110" spans="1:3" x14ac:dyDescent="0.3">
      <c r="A1110">
        <v>1109</v>
      </c>
      <c r="B1110" s="7">
        <v>3311060.5955274757</v>
      </c>
      <c r="C1110">
        <f t="shared" si="17"/>
        <v>1</v>
      </c>
    </row>
    <row r="1111" spans="1:3" x14ac:dyDescent="0.3">
      <c r="A1111">
        <v>1110</v>
      </c>
      <c r="B1111" s="7">
        <v>3993603.7470589452</v>
      </c>
      <c r="C1111">
        <f t="shared" si="17"/>
        <v>1</v>
      </c>
    </row>
    <row r="1112" spans="1:3" x14ac:dyDescent="0.3">
      <c r="A1112">
        <v>1111</v>
      </c>
      <c r="B1112" s="7">
        <v>10689003.242455831</v>
      </c>
      <c r="C1112">
        <f t="shared" si="17"/>
        <v>1</v>
      </c>
    </row>
    <row r="1113" spans="1:3" x14ac:dyDescent="0.3">
      <c r="A1113">
        <v>1112</v>
      </c>
      <c r="B1113" s="7">
        <v>11526646.343578484</v>
      </c>
      <c r="C1113">
        <f t="shared" si="17"/>
        <v>1</v>
      </c>
    </row>
    <row r="1114" spans="1:3" x14ac:dyDescent="0.3">
      <c r="A1114">
        <v>1113</v>
      </c>
      <c r="B1114" s="7">
        <v>2455388.076519662</v>
      </c>
      <c r="C1114">
        <f t="shared" si="17"/>
        <v>1</v>
      </c>
    </row>
    <row r="1115" spans="1:3" x14ac:dyDescent="0.3">
      <c r="A1115">
        <v>1114</v>
      </c>
      <c r="B1115" s="7">
        <v>8256373.9927767245</v>
      </c>
      <c r="C1115">
        <f t="shared" si="17"/>
        <v>1</v>
      </c>
    </row>
    <row r="1116" spans="1:3" x14ac:dyDescent="0.3">
      <c r="A1116">
        <v>1115</v>
      </c>
      <c r="B1116" s="7">
        <v>8981535.8146550134</v>
      </c>
      <c r="C1116">
        <f t="shared" si="17"/>
        <v>1</v>
      </c>
    </row>
    <row r="1117" spans="1:3" x14ac:dyDescent="0.3">
      <c r="A1117">
        <v>1116</v>
      </c>
      <c r="B1117" s="7">
        <v>7650300.707268958</v>
      </c>
      <c r="C1117">
        <f t="shared" si="17"/>
        <v>1</v>
      </c>
    </row>
    <row r="1118" spans="1:3" x14ac:dyDescent="0.3">
      <c r="A1118">
        <v>1117</v>
      </c>
      <c r="B1118" s="7">
        <v>5533150.1762346979</v>
      </c>
      <c r="C1118">
        <f t="shared" si="17"/>
        <v>1</v>
      </c>
    </row>
    <row r="1119" spans="1:3" x14ac:dyDescent="0.3">
      <c r="A1119">
        <v>1118</v>
      </c>
      <c r="B1119" s="7">
        <v>3937143.9947186587</v>
      </c>
      <c r="C1119">
        <f t="shared" si="17"/>
        <v>1</v>
      </c>
    </row>
    <row r="1120" spans="1:3" x14ac:dyDescent="0.3">
      <c r="A1120">
        <v>1119</v>
      </c>
      <c r="B1120" s="7">
        <v>16631803.924793568</v>
      </c>
      <c r="C1120">
        <f t="shared" si="17"/>
        <v>1</v>
      </c>
    </row>
    <row r="1121" spans="1:3" x14ac:dyDescent="0.3">
      <c r="A1121">
        <v>1120</v>
      </c>
      <c r="B1121" s="7">
        <v>1033891.7793364268</v>
      </c>
      <c r="C1121">
        <f t="shared" si="17"/>
        <v>1</v>
      </c>
    </row>
    <row r="1122" spans="1:3" x14ac:dyDescent="0.3">
      <c r="A1122">
        <v>1121</v>
      </c>
      <c r="B1122" s="7">
        <v>3203289.66113642</v>
      </c>
      <c r="C1122">
        <f t="shared" si="17"/>
        <v>1</v>
      </c>
    </row>
    <row r="1123" spans="1:3" x14ac:dyDescent="0.3">
      <c r="A1123">
        <v>1122</v>
      </c>
      <c r="B1123" s="7">
        <v>2406120.8233664148</v>
      </c>
      <c r="C1123">
        <f t="shared" si="17"/>
        <v>1</v>
      </c>
    </row>
    <row r="1124" spans="1:3" x14ac:dyDescent="0.3">
      <c r="A1124">
        <v>1123</v>
      </c>
      <c r="B1124" s="7">
        <v>659349.54735207383</v>
      </c>
      <c r="C1124">
        <f t="shared" si="17"/>
        <v>1</v>
      </c>
    </row>
    <row r="1125" spans="1:3" x14ac:dyDescent="0.3">
      <c r="A1125">
        <v>1124</v>
      </c>
      <c r="B1125" s="7">
        <v>5305398.5432839701</v>
      </c>
      <c r="C1125">
        <f t="shared" si="17"/>
        <v>1</v>
      </c>
    </row>
    <row r="1126" spans="1:3" x14ac:dyDescent="0.3">
      <c r="A1126">
        <v>1125</v>
      </c>
      <c r="B1126" s="7">
        <v>20141258.046664398</v>
      </c>
      <c r="C1126">
        <f t="shared" si="17"/>
        <v>1</v>
      </c>
    </row>
    <row r="1127" spans="1:3" x14ac:dyDescent="0.3">
      <c r="A1127">
        <v>1126</v>
      </c>
      <c r="B1127" s="7">
        <v>3827880.6174092595</v>
      </c>
      <c r="C1127">
        <f t="shared" si="17"/>
        <v>1</v>
      </c>
    </row>
    <row r="1128" spans="1:3" x14ac:dyDescent="0.3">
      <c r="A1128">
        <v>1127</v>
      </c>
      <c r="B1128" s="7">
        <v>1277110.5137983609</v>
      </c>
      <c r="C1128">
        <f t="shared" si="17"/>
        <v>1</v>
      </c>
    </row>
    <row r="1129" spans="1:3" x14ac:dyDescent="0.3">
      <c r="A1129">
        <v>1128</v>
      </c>
      <c r="B1129" s="7">
        <v>544429.37058317906</v>
      </c>
      <c r="C1129">
        <f t="shared" si="17"/>
        <v>1</v>
      </c>
    </row>
    <row r="1130" spans="1:3" x14ac:dyDescent="0.3">
      <c r="A1130">
        <v>1129</v>
      </c>
      <c r="B1130" s="7">
        <v>10139610.487500565</v>
      </c>
      <c r="C1130">
        <f t="shared" si="17"/>
        <v>1</v>
      </c>
    </row>
    <row r="1131" spans="1:3" x14ac:dyDescent="0.3">
      <c r="A1131">
        <v>1130</v>
      </c>
      <c r="B1131" s="7">
        <v>5528268.1748776846</v>
      </c>
      <c r="C1131">
        <f t="shared" si="17"/>
        <v>1</v>
      </c>
    </row>
    <row r="1132" spans="1:3" x14ac:dyDescent="0.3">
      <c r="A1132">
        <v>1131</v>
      </c>
      <c r="B1132" s="7">
        <v>3996657.6163019282</v>
      </c>
      <c r="C1132">
        <f t="shared" si="17"/>
        <v>1</v>
      </c>
    </row>
    <row r="1133" spans="1:3" x14ac:dyDescent="0.3">
      <c r="A1133">
        <v>1132</v>
      </c>
      <c r="B1133" s="7">
        <v>4352335.065288242</v>
      </c>
      <c r="C1133">
        <f t="shared" si="17"/>
        <v>1</v>
      </c>
    </row>
    <row r="1134" spans="1:3" x14ac:dyDescent="0.3">
      <c r="A1134">
        <v>1133</v>
      </c>
      <c r="B1134" s="7">
        <v>7694526.487307555</v>
      </c>
      <c r="C1134">
        <f t="shared" si="17"/>
        <v>1</v>
      </c>
    </row>
    <row r="1135" spans="1:3" x14ac:dyDescent="0.3">
      <c r="A1135">
        <v>1134</v>
      </c>
      <c r="B1135" s="7">
        <v>396307.06325028097</v>
      </c>
      <c r="C1135">
        <f t="shared" si="17"/>
        <v>1</v>
      </c>
    </row>
    <row r="1136" spans="1:3" x14ac:dyDescent="0.3">
      <c r="A1136">
        <v>1135</v>
      </c>
      <c r="B1136" s="7">
        <v>5104068.0073706182</v>
      </c>
      <c r="C1136">
        <f t="shared" si="17"/>
        <v>1</v>
      </c>
    </row>
    <row r="1137" spans="1:3" x14ac:dyDescent="0.3">
      <c r="A1137">
        <v>1136</v>
      </c>
      <c r="B1137" s="7">
        <v>4271058.6128480593</v>
      </c>
      <c r="C1137">
        <f t="shared" si="17"/>
        <v>1</v>
      </c>
    </row>
    <row r="1138" spans="1:3" x14ac:dyDescent="0.3">
      <c r="A1138">
        <v>1137</v>
      </c>
      <c r="B1138" s="7">
        <v>10739936.770443171</v>
      </c>
      <c r="C1138">
        <f t="shared" si="17"/>
        <v>1</v>
      </c>
    </row>
    <row r="1139" spans="1:3" x14ac:dyDescent="0.3">
      <c r="A1139">
        <v>1138</v>
      </c>
      <c r="B1139" s="7">
        <v>7678259.2816840783</v>
      </c>
      <c r="C1139">
        <f t="shared" si="17"/>
        <v>1</v>
      </c>
    </row>
    <row r="1140" spans="1:3" x14ac:dyDescent="0.3">
      <c r="A1140">
        <v>1139</v>
      </c>
      <c r="B1140" s="7">
        <v>3205250.454246894</v>
      </c>
      <c r="C1140">
        <f t="shared" si="17"/>
        <v>1</v>
      </c>
    </row>
    <row r="1141" spans="1:3" x14ac:dyDescent="0.3">
      <c r="A1141">
        <v>1140</v>
      </c>
      <c r="B1141" s="7">
        <v>14489841.496088367</v>
      </c>
      <c r="C1141">
        <f t="shared" si="17"/>
        <v>1</v>
      </c>
    </row>
    <row r="1142" spans="1:3" x14ac:dyDescent="0.3">
      <c r="A1142">
        <v>1141</v>
      </c>
      <c r="B1142" s="7">
        <v>8893835.8970778342</v>
      </c>
      <c r="C1142">
        <f t="shared" si="17"/>
        <v>1</v>
      </c>
    </row>
    <row r="1143" spans="1:3" x14ac:dyDescent="0.3">
      <c r="A1143">
        <v>1142</v>
      </c>
      <c r="B1143" s="7">
        <v>3382807.1379767274</v>
      </c>
      <c r="C1143">
        <f t="shared" si="17"/>
        <v>1</v>
      </c>
    </row>
    <row r="1144" spans="1:3" x14ac:dyDescent="0.3">
      <c r="A1144">
        <v>1143</v>
      </c>
      <c r="B1144" s="7">
        <v>7382346.4031266933</v>
      </c>
      <c r="C1144">
        <f t="shared" si="17"/>
        <v>1</v>
      </c>
    </row>
    <row r="1145" spans="1:3" x14ac:dyDescent="0.3">
      <c r="A1145">
        <v>1144</v>
      </c>
      <c r="B1145" s="7">
        <v>13822075.109418303</v>
      </c>
      <c r="C1145">
        <f t="shared" si="17"/>
        <v>1</v>
      </c>
    </row>
    <row r="1146" spans="1:3" x14ac:dyDescent="0.3">
      <c r="A1146">
        <v>1145</v>
      </c>
      <c r="B1146" s="7">
        <v>9230885.4223601855</v>
      </c>
      <c r="C1146">
        <f t="shared" si="17"/>
        <v>1</v>
      </c>
    </row>
    <row r="1147" spans="1:3" x14ac:dyDescent="0.3">
      <c r="A1147">
        <v>1146</v>
      </c>
      <c r="B1147" s="7">
        <v>2474316.7567531443</v>
      </c>
      <c r="C1147">
        <f t="shared" si="17"/>
        <v>1</v>
      </c>
    </row>
    <row r="1148" spans="1:3" x14ac:dyDescent="0.3">
      <c r="A1148">
        <v>1147</v>
      </c>
      <c r="B1148" s="7">
        <v>758482.98539906263</v>
      </c>
      <c r="C1148">
        <f t="shared" si="17"/>
        <v>1</v>
      </c>
    </row>
    <row r="1149" spans="1:3" x14ac:dyDescent="0.3">
      <c r="A1149">
        <v>1148</v>
      </c>
      <c r="B1149" s="7">
        <v>2039267.0825978594</v>
      </c>
      <c r="C1149">
        <f t="shared" si="17"/>
        <v>1</v>
      </c>
    </row>
    <row r="1150" spans="1:3" x14ac:dyDescent="0.3">
      <c r="A1150">
        <v>1149</v>
      </c>
      <c r="B1150" s="7">
        <v>8021137.876322913</v>
      </c>
      <c r="C1150">
        <f t="shared" si="17"/>
        <v>1</v>
      </c>
    </row>
    <row r="1151" spans="1:3" x14ac:dyDescent="0.3">
      <c r="A1151">
        <v>1150</v>
      </c>
      <c r="B1151" s="7">
        <v>5441420.1355460687</v>
      </c>
      <c r="C1151">
        <f t="shared" si="17"/>
        <v>1</v>
      </c>
    </row>
    <row r="1152" spans="1:3" x14ac:dyDescent="0.3">
      <c r="A1152">
        <v>1151</v>
      </c>
      <c r="B1152" s="7">
        <v>6957284.4939665906</v>
      </c>
      <c r="C1152">
        <f t="shared" si="17"/>
        <v>1</v>
      </c>
    </row>
    <row r="1153" spans="1:3" x14ac:dyDescent="0.3">
      <c r="A1153">
        <v>1152</v>
      </c>
      <c r="B1153" s="7">
        <v>2208263.0018441067</v>
      </c>
      <c r="C1153">
        <f t="shared" si="17"/>
        <v>1</v>
      </c>
    </row>
    <row r="1154" spans="1:3" x14ac:dyDescent="0.3">
      <c r="A1154">
        <v>1153</v>
      </c>
      <c r="B1154" s="7">
        <v>8443073.5889577363</v>
      </c>
      <c r="C1154">
        <f t="shared" si="17"/>
        <v>1</v>
      </c>
    </row>
    <row r="1155" spans="1:3" x14ac:dyDescent="0.3">
      <c r="A1155">
        <v>1154</v>
      </c>
      <c r="B1155" s="7">
        <v>20105029.265380681</v>
      </c>
      <c r="C1155">
        <f t="shared" ref="C1155:C1218" si="18">IF(B1155=0,0,1)</f>
        <v>1</v>
      </c>
    </row>
    <row r="1156" spans="1:3" x14ac:dyDescent="0.3">
      <c r="A1156">
        <v>1155</v>
      </c>
      <c r="B1156" s="7">
        <v>3165450.9674387407</v>
      </c>
      <c r="C1156">
        <f t="shared" si="18"/>
        <v>1</v>
      </c>
    </row>
    <row r="1157" spans="1:3" x14ac:dyDescent="0.3">
      <c r="A1157">
        <v>1156</v>
      </c>
      <c r="B1157" s="7">
        <v>11380794.788905483</v>
      </c>
      <c r="C1157">
        <f t="shared" si="18"/>
        <v>1</v>
      </c>
    </row>
    <row r="1158" spans="1:3" x14ac:dyDescent="0.3">
      <c r="A1158">
        <v>1157</v>
      </c>
      <c r="B1158" s="7">
        <v>12248669.452017609</v>
      </c>
      <c r="C1158">
        <f t="shared" si="18"/>
        <v>1</v>
      </c>
    </row>
    <row r="1159" spans="1:3" x14ac:dyDescent="0.3">
      <c r="A1159">
        <v>1158</v>
      </c>
      <c r="B1159" s="7">
        <v>5082315.9376641875</v>
      </c>
      <c r="C1159">
        <f t="shared" si="18"/>
        <v>1</v>
      </c>
    </row>
    <row r="1160" spans="1:3" x14ac:dyDescent="0.3">
      <c r="A1160">
        <v>1159</v>
      </c>
      <c r="B1160" s="7">
        <v>2199712.849411766</v>
      </c>
      <c r="C1160">
        <f t="shared" si="18"/>
        <v>1</v>
      </c>
    </row>
    <row r="1161" spans="1:3" x14ac:dyDescent="0.3">
      <c r="A1161">
        <v>1160</v>
      </c>
      <c r="B1161" s="7">
        <v>5203403.5376186017</v>
      </c>
      <c r="C1161">
        <f t="shared" si="18"/>
        <v>1</v>
      </c>
    </row>
    <row r="1162" spans="1:3" x14ac:dyDescent="0.3">
      <c r="A1162">
        <v>1161</v>
      </c>
      <c r="B1162" s="7">
        <v>22066810.802351713</v>
      </c>
      <c r="C1162">
        <f t="shared" si="18"/>
        <v>1</v>
      </c>
    </row>
    <row r="1163" spans="1:3" x14ac:dyDescent="0.3">
      <c r="A1163">
        <v>1162</v>
      </c>
      <c r="B1163" s="7">
        <v>3302574.5864849128</v>
      </c>
      <c r="C1163">
        <f t="shared" si="18"/>
        <v>1</v>
      </c>
    </row>
    <row r="1164" spans="1:3" x14ac:dyDescent="0.3">
      <c r="A1164">
        <v>1163</v>
      </c>
      <c r="B1164" s="7">
        <v>2565565.6817480088</v>
      </c>
      <c r="C1164">
        <f t="shared" si="18"/>
        <v>1</v>
      </c>
    </row>
    <row r="1165" spans="1:3" x14ac:dyDescent="0.3">
      <c r="A1165">
        <v>1164</v>
      </c>
      <c r="B1165" s="7">
        <v>7129464.4409631677</v>
      </c>
      <c r="C1165">
        <f t="shared" si="18"/>
        <v>1</v>
      </c>
    </row>
    <row r="1166" spans="1:3" x14ac:dyDescent="0.3">
      <c r="A1166">
        <v>1165</v>
      </c>
      <c r="B1166" s="7">
        <v>617178.12097078282</v>
      </c>
      <c r="C1166">
        <f t="shared" si="18"/>
        <v>1</v>
      </c>
    </row>
    <row r="1167" spans="1:3" x14ac:dyDescent="0.3">
      <c r="A1167">
        <v>1166</v>
      </c>
      <c r="B1167" s="7">
        <v>2574479.0157462722</v>
      </c>
      <c r="C1167">
        <f t="shared" si="18"/>
        <v>1</v>
      </c>
    </row>
    <row r="1168" spans="1:3" x14ac:dyDescent="0.3">
      <c r="A1168">
        <v>1167</v>
      </c>
      <c r="B1168" s="7">
        <v>16265848.941076294</v>
      </c>
      <c r="C1168">
        <f t="shared" si="18"/>
        <v>1</v>
      </c>
    </row>
    <row r="1169" spans="1:3" x14ac:dyDescent="0.3">
      <c r="A1169">
        <v>1168</v>
      </c>
      <c r="B1169" s="7">
        <v>5983475.8491327921</v>
      </c>
      <c r="C1169">
        <f t="shared" si="18"/>
        <v>1</v>
      </c>
    </row>
    <row r="1170" spans="1:3" x14ac:dyDescent="0.3">
      <c r="A1170">
        <v>1169</v>
      </c>
      <c r="B1170" s="7">
        <v>1104630.4588025506</v>
      </c>
      <c r="C1170">
        <f t="shared" si="18"/>
        <v>1</v>
      </c>
    </row>
    <row r="1171" spans="1:3" x14ac:dyDescent="0.3">
      <c r="A1171">
        <v>1170</v>
      </c>
      <c r="B1171" s="7">
        <v>1796876.6410936906</v>
      </c>
      <c r="C1171">
        <f t="shared" si="18"/>
        <v>1</v>
      </c>
    </row>
    <row r="1172" spans="1:3" x14ac:dyDescent="0.3">
      <c r="A1172">
        <v>1171</v>
      </c>
      <c r="B1172" s="7">
        <v>4164631.0168925333</v>
      </c>
      <c r="C1172">
        <f t="shared" si="18"/>
        <v>1</v>
      </c>
    </row>
    <row r="1173" spans="1:3" x14ac:dyDescent="0.3">
      <c r="A1173">
        <v>1172</v>
      </c>
      <c r="B1173" s="7">
        <v>5276784.6975618768</v>
      </c>
      <c r="C1173">
        <f t="shared" si="18"/>
        <v>1</v>
      </c>
    </row>
    <row r="1174" spans="1:3" x14ac:dyDescent="0.3">
      <c r="A1174">
        <v>1173</v>
      </c>
      <c r="B1174" s="7">
        <v>0</v>
      </c>
      <c r="C1174">
        <f t="shared" si="18"/>
        <v>0</v>
      </c>
    </row>
    <row r="1175" spans="1:3" x14ac:dyDescent="0.3">
      <c r="A1175">
        <v>1174</v>
      </c>
      <c r="B1175" s="7">
        <v>2718669.6535795922</v>
      </c>
      <c r="C1175">
        <f t="shared" si="18"/>
        <v>1</v>
      </c>
    </row>
    <row r="1176" spans="1:3" x14ac:dyDescent="0.3">
      <c r="A1176">
        <v>1175</v>
      </c>
      <c r="B1176" s="7">
        <v>2010036.4498215583</v>
      </c>
      <c r="C1176">
        <f t="shared" si="18"/>
        <v>1</v>
      </c>
    </row>
    <row r="1177" spans="1:3" x14ac:dyDescent="0.3">
      <c r="A1177">
        <v>1176</v>
      </c>
      <c r="B1177" s="7">
        <v>1423421.4759638321</v>
      </c>
      <c r="C1177">
        <f t="shared" si="18"/>
        <v>1</v>
      </c>
    </row>
    <row r="1178" spans="1:3" x14ac:dyDescent="0.3">
      <c r="A1178">
        <v>1177</v>
      </c>
      <c r="B1178" s="7">
        <v>5225617.9674652815</v>
      </c>
      <c r="C1178">
        <f t="shared" si="18"/>
        <v>1</v>
      </c>
    </row>
    <row r="1179" spans="1:3" x14ac:dyDescent="0.3">
      <c r="A1179">
        <v>1178</v>
      </c>
      <c r="B1179" s="7">
        <v>3300721.1600214732</v>
      </c>
      <c r="C1179">
        <f t="shared" si="18"/>
        <v>1</v>
      </c>
    </row>
    <row r="1180" spans="1:3" x14ac:dyDescent="0.3">
      <c r="A1180">
        <v>1179</v>
      </c>
      <c r="B1180" s="7">
        <v>3902399.6608668417</v>
      </c>
      <c r="C1180">
        <f t="shared" si="18"/>
        <v>1</v>
      </c>
    </row>
    <row r="1181" spans="1:3" x14ac:dyDescent="0.3">
      <c r="A1181">
        <v>1180</v>
      </c>
      <c r="B1181" s="7">
        <v>3072408.3034707387</v>
      </c>
      <c r="C1181">
        <f t="shared" si="18"/>
        <v>1</v>
      </c>
    </row>
    <row r="1182" spans="1:3" x14ac:dyDescent="0.3">
      <c r="A1182">
        <v>1181</v>
      </c>
      <c r="B1182" s="7">
        <v>1878030.1878489607</v>
      </c>
      <c r="C1182">
        <f t="shared" si="18"/>
        <v>1</v>
      </c>
    </row>
    <row r="1183" spans="1:3" x14ac:dyDescent="0.3">
      <c r="A1183">
        <v>1182</v>
      </c>
      <c r="B1183" s="7">
        <v>2694076.8049091753</v>
      </c>
      <c r="C1183">
        <f t="shared" si="18"/>
        <v>1</v>
      </c>
    </row>
    <row r="1184" spans="1:3" x14ac:dyDescent="0.3">
      <c r="A1184">
        <v>1183</v>
      </c>
      <c r="B1184" s="7">
        <v>18821805.548865762</v>
      </c>
      <c r="C1184">
        <f t="shared" si="18"/>
        <v>1</v>
      </c>
    </row>
    <row r="1185" spans="1:3" x14ac:dyDescent="0.3">
      <c r="A1185">
        <v>1184</v>
      </c>
      <c r="B1185" s="7">
        <v>10049469.492616026</v>
      </c>
      <c r="C1185">
        <f t="shared" si="18"/>
        <v>1</v>
      </c>
    </row>
    <row r="1186" spans="1:3" x14ac:dyDescent="0.3">
      <c r="A1186">
        <v>1185</v>
      </c>
      <c r="B1186" s="7">
        <v>1502882.9662158429</v>
      </c>
      <c r="C1186">
        <f t="shared" si="18"/>
        <v>1</v>
      </c>
    </row>
    <row r="1187" spans="1:3" x14ac:dyDescent="0.3">
      <c r="A1187">
        <v>1186</v>
      </c>
      <c r="B1187" s="7">
        <v>1649268.05970091</v>
      </c>
      <c r="C1187">
        <f t="shared" si="18"/>
        <v>1</v>
      </c>
    </row>
    <row r="1188" spans="1:3" x14ac:dyDescent="0.3">
      <c r="A1188">
        <v>1187</v>
      </c>
      <c r="B1188" s="7">
        <v>6355290.9824286895</v>
      </c>
      <c r="C1188">
        <f t="shared" si="18"/>
        <v>1</v>
      </c>
    </row>
    <row r="1189" spans="1:3" x14ac:dyDescent="0.3">
      <c r="A1189">
        <v>1188</v>
      </c>
      <c r="B1189" s="7">
        <v>2166047.1771016391</v>
      </c>
      <c r="C1189">
        <f t="shared" si="18"/>
        <v>1</v>
      </c>
    </row>
    <row r="1190" spans="1:3" x14ac:dyDescent="0.3">
      <c r="A1190">
        <v>1189</v>
      </c>
      <c r="B1190" s="7">
        <v>3722877.6367086433</v>
      </c>
      <c r="C1190">
        <f t="shared" si="18"/>
        <v>1</v>
      </c>
    </row>
    <row r="1191" spans="1:3" x14ac:dyDescent="0.3">
      <c r="A1191">
        <v>1190</v>
      </c>
      <c r="B1191" s="7">
        <v>8565866.45924877</v>
      </c>
      <c r="C1191">
        <f t="shared" si="18"/>
        <v>1</v>
      </c>
    </row>
    <row r="1192" spans="1:3" x14ac:dyDescent="0.3">
      <c r="A1192">
        <v>1191</v>
      </c>
      <c r="B1192" s="7">
        <v>6104277.2323184302</v>
      </c>
      <c r="C1192">
        <f t="shared" si="18"/>
        <v>1</v>
      </c>
    </row>
    <row r="1193" spans="1:3" x14ac:dyDescent="0.3">
      <c r="A1193">
        <v>1192</v>
      </c>
      <c r="B1193" s="7">
        <v>10801532.62479151</v>
      </c>
      <c r="C1193">
        <f t="shared" si="18"/>
        <v>1</v>
      </c>
    </row>
    <row r="1194" spans="1:3" x14ac:dyDescent="0.3">
      <c r="A1194">
        <v>1193</v>
      </c>
      <c r="B1194" s="7">
        <v>11469269.03473183</v>
      </c>
      <c r="C1194">
        <f t="shared" si="18"/>
        <v>1</v>
      </c>
    </row>
    <row r="1195" spans="1:3" x14ac:dyDescent="0.3">
      <c r="A1195">
        <v>1194</v>
      </c>
      <c r="B1195" s="7">
        <v>4795235.4453812642</v>
      </c>
      <c r="C1195">
        <f t="shared" si="18"/>
        <v>1</v>
      </c>
    </row>
    <row r="1196" spans="1:3" x14ac:dyDescent="0.3">
      <c r="A1196">
        <v>1195</v>
      </c>
      <c r="B1196" s="7">
        <v>5388306.5411350615</v>
      </c>
      <c r="C1196">
        <f t="shared" si="18"/>
        <v>1</v>
      </c>
    </row>
    <row r="1197" spans="1:3" x14ac:dyDescent="0.3">
      <c r="A1197">
        <v>1196</v>
      </c>
      <c r="B1197" s="7">
        <v>857191.94069637847</v>
      </c>
      <c r="C1197">
        <f t="shared" si="18"/>
        <v>1</v>
      </c>
    </row>
    <row r="1198" spans="1:3" x14ac:dyDescent="0.3">
      <c r="A1198">
        <v>1197</v>
      </c>
      <c r="B1198" s="7">
        <v>562677.69657779159</v>
      </c>
      <c r="C1198">
        <f t="shared" si="18"/>
        <v>1</v>
      </c>
    </row>
    <row r="1199" spans="1:3" x14ac:dyDescent="0.3">
      <c r="A1199">
        <v>1198</v>
      </c>
      <c r="B1199" s="7">
        <v>2865208.9867252181</v>
      </c>
      <c r="C1199">
        <f t="shared" si="18"/>
        <v>1</v>
      </c>
    </row>
    <row r="1200" spans="1:3" x14ac:dyDescent="0.3">
      <c r="A1200">
        <v>1199</v>
      </c>
      <c r="B1200" s="7">
        <v>650881.671600373</v>
      </c>
      <c r="C1200">
        <f t="shared" si="18"/>
        <v>1</v>
      </c>
    </row>
    <row r="1201" spans="1:3" x14ac:dyDescent="0.3">
      <c r="A1201">
        <v>1200</v>
      </c>
      <c r="B1201" s="7">
        <v>2495701.8714625086</v>
      </c>
      <c r="C1201">
        <f t="shared" si="18"/>
        <v>1</v>
      </c>
    </row>
    <row r="1202" spans="1:3" x14ac:dyDescent="0.3">
      <c r="A1202">
        <v>1201</v>
      </c>
      <c r="B1202" s="7">
        <v>8574828.1692865174</v>
      </c>
      <c r="C1202">
        <f t="shared" si="18"/>
        <v>1</v>
      </c>
    </row>
    <row r="1203" spans="1:3" x14ac:dyDescent="0.3">
      <c r="A1203">
        <v>1202</v>
      </c>
      <c r="B1203" s="7">
        <v>8638741.0940253809</v>
      </c>
      <c r="C1203">
        <f t="shared" si="18"/>
        <v>1</v>
      </c>
    </row>
    <row r="1204" spans="1:3" x14ac:dyDescent="0.3">
      <c r="A1204">
        <v>1203</v>
      </c>
      <c r="B1204" s="7">
        <v>3109598.6480060979</v>
      </c>
      <c r="C1204">
        <f t="shared" si="18"/>
        <v>1</v>
      </c>
    </row>
    <row r="1205" spans="1:3" x14ac:dyDescent="0.3">
      <c r="A1205">
        <v>1204</v>
      </c>
      <c r="B1205" s="7">
        <v>145622.61680619864</v>
      </c>
      <c r="C1205">
        <f t="shared" si="18"/>
        <v>1</v>
      </c>
    </row>
    <row r="1206" spans="1:3" x14ac:dyDescent="0.3">
      <c r="A1206">
        <v>1205</v>
      </c>
      <c r="B1206" s="7">
        <v>5567026.3253490394</v>
      </c>
      <c r="C1206">
        <f t="shared" si="18"/>
        <v>1</v>
      </c>
    </row>
    <row r="1207" spans="1:3" x14ac:dyDescent="0.3">
      <c r="A1207">
        <v>1206</v>
      </c>
      <c r="B1207" s="7">
        <v>11968196.348650774</v>
      </c>
      <c r="C1207">
        <f t="shared" si="18"/>
        <v>1</v>
      </c>
    </row>
    <row r="1208" spans="1:3" x14ac:dyDescent="0.3">
      <c r="A1208">
        <v>1207</v>
      </c>
      <c r="B1208" s="7">
        <v>13196724.035788707</v>
      </c>
      <c r="C1208">
        <f t="shared" si="18"/>
        <v>1</v>
      </c>
    </row>
    <row r="1209" spans="1:3" x14ac:dyDescent="0.3">
      <c r="A1209">
        <v>1208</v>
      </c>
      <c r="B1209" s="7">
        <v>2353493.6616261341</v>
      </c>
      <c r="C1209">
        <f t="shared" si="18"/>
        <v>1</v>
      </c>
    </row>
    <row r="1210" spans="1:3" x14ac:dyDescent="0.3">
      <c r="A1210">
        <v>1209</v>
      </c>
      <c r="B1210" s="7">
        <v>2485090.4625636945</v>
      </c>
      <c r="C1210">
        <f t="shared" si="18"/>
        <v>1</v>
      </c>
    </row>
    <row r="1211" spans="1:3" x14ac:dyDescent="0.3">
      <c r="A1211">
        <v>1210</v>
      </c>
      <c r="B1211" s="7">
        <v>5028601.9416794833</v>
      </c>
      <c r="C1211">
        <f t="shared" si="18"/>
        <v>1</v>
      </c>
    </row>
    <row r="1212" spans="1:3" x14ac:dyDescent="0.3">
      <c r="A1212">
        <v>1211</v>
      </c>
      <c r="B1212" s="7">
        <v>5228535.7034537895</v>
      </c>
      <c r="C1212">
        <f t="shared" si="18"/>
        <v>1</v>
      </c>
    </row>
    <row r="1213" spans="1:3" x14ac:dyDescent="0.3">
      <c r="A1213">
        <v>1212</v>
      </c>
      <c r="B1213" s="7">
        <v>1672882.8946891276</v>
      </c>
      <c r="C1213">
        <f t="shared" si="18"/>
        <v>1</v>
      </c>
    </row>
    <row r="1214" spans="1:3" x14ac:dyDescent="0.3">
      <c r="A1214">
        <v>1213</v>
      </c>
      <c r="B1214" s="7">
        <v>5545805.9097692808</v>
      </c>
      <c r="C1214">
        <f t="shared" si="18"/>
        <v>1</v>
      </c>
    </row>
    <row r="1215" spans="1:3" x14ac:dyDescent="0.3">
      <c r="A1215">
        <v>1214</v>
      </c>
      <c r="B1215" s="7">
        <v>6166053.3604027042</v>
      </c>
      <c r="C1215">
        <f t="shared" si="18"/>
        <v>1</v>
      </c>
    </row>
    <row r="1216" spans="1:3" x14ac:dyDescent="0.3">
      <c r="A1216">
        <v>1215</v>
      </c>
      <c r="B1216" s="7">
        <v>491368.35523611156</v>
      </c>
      <c r="C1216">
        <f t="shared" si="18"/>
        <v>1</v>
      </c>
    </row>
    <row r="1217" spans="1:3" x14ac:dyDescent="0.3">
      <c r="A1217">
        <v>1216</v>
      </c>
      <c r="B1217" s="7">
        <v>963057.94118115597</v>
      </c>
      <c r="C1217">
        <f t="shared" si="18"/>
        <v>1</v>
      </c>
    </row>
    <row r="1218" spans="1:3" x14ac:dyDescent="0.3">
      <c r="A1218">
        <v>1217</v>
      </c>
      <c r="B1218" s="7">
        <v>580531.55851101177</v>
      </c>
      <c r="C1218">
        <f t="shared" si="18"/>
        <v>1</v>
      </c>
    </row>
    <row r="1219" spans="1:3" x14ac:dyDescent="0.3">
      <c r="A1219">
        <v>1218</v>
      </c>
      <c r="B1219" s="7">
        <v>7941934.048070455</v>
      </c>
      <c r="C1219">
        <f t="shared" ref="C1219:C1282" si="19">IF(B1219=0,0,1)</f>
        <v>1</v>
      </c>
    </row>
    <row r="1220" spans="1:3" x14ac:dyDescent="0.3">
      <c r="A1220">
        <v>1219</v>
      </c>
      <c r="B1220" s="7">
        <v>810851.63127094484</v>
      </c>
      <c r="C1220">
        <f t="shared" si="19"/>
        <v>1</v>
      </c>
    </row>
    <row r="1221" spans="1:3" x14ac:dyDescent="0.3">
      <c r="A1221">
        <v>1220</v>
      </c>
      <c r="B1221" s="7">
        <v>838647.41374307859</v>
      </c>
      <c r="C1221">
        <f t="shared" si="19"/>
        <v>1</v>
      </c>
    </row>
    <row r="1222" spans="1:3" x14ac:dyDescent="0.3">
      <c r="A1222">
        <v>1221</v>
      </c>
      <c r="B1222" s="7">
        <v>7742029.9153492181</v>
      </c>
      <c r="C1222">
        <f t="shared" si="19"/>
        <v>1</v>
      </c>
    </row>
    <row r="1223" spans="1:3" x14ac:dyDescent="0.3">
      <c r="A1223">
        <v>1222</v>
      </c>
      <c r="B1223" s="7">
        <v>617885.28219871828</v>
      </c>
      <c r="C1223">
        <f t="shared" si="19"/>
        <v>1</v>
      </c>
    </row>
    <row r="1224" spans="1:3" x14ac:dyDescent="0.3">
      <c r="A1224">
        <v>1223</v>
      </c>
      <c r="B1224" s="7">
        <v>3601215.3353018002</v>
      </c>
      <c r="C1224">
        <f t="shared" si="19"/>
        <v>1</v>
      </c>
    </row>
    <row r="1225" spans="1:3" x14ac:dyDescent="0.3">
      <c r="A1225">
        <v>1224</v>
      </c>
      <c r="B1225" s="7">
        <v>3944432.1913237399</v>
      </c>
      <c r="C1225">
        <f t="shared" si="19"/>
        <v>1</v>
      </c>
    </row>
    <row r="1226" spans="1:3" x14ac:dyDescent="0.3">
      <c r="A1226">
        <v>1225</v>
      </c>
      <c r="B1226" s="7">
        <v>1546598.7385346079</v>
      </c>
      <c r="C1226">
        <f t="shared" si="19"/>
        <v>1</v>
      </c>
    </row>
    <row r="1227" spans="1:3" x14ac:dyDescent="0.3">
      <c r="A1227">
        <v>1226</v>
      </c>
      <c r="B1227" s="7">
        <v>14338400.144805748</v>
      </c>
      <c r="C1227">
        <f t="shared" si="19"/>
        <v>1</v>
      </c>
    </row>
    <row r="1228" spans="1:3" x14ac:dyDescent="0.3">
      <c r="A1228">
        <v>1227</v>
      </c>
      <c r="B1228" s="7">
        <v>3650454.3204405885</v>
      </c>
      <c r="C1228">
        <f t="shared" si="19"/>
        <v>1</v>
      </c>
    </row>
    <row r="1229" spans="1:3" x14ac:dyDescent="0.3">
      <c r="A1229">
        <v>1228</v>
      </c>
      <c r="B1229" s="7">
        <v>4685880.1624338785</v>
      </c>
      <c r="C1229">
        <f t="shared" si="19"/>
        <v>1</v>
      </c>
    </row>
    <row r="1230" spans="1:3" x14ac:dyDescent="0.3">
      <c r="A1230">
        <v>1229</v>
      </c>
      <c r="B1230" s="7">
        <v>5269659.9983337307</v>
      </c>
      <c r="C1230">
        <f t="shared" si="19"/>
        <v>1</v>
      </c>
    </row>
    <row r="1231" spans="1:3" x14ac:dyDescent="0.3">
      <c r="A1231">
        <v>1230</v>
      </c>
      <c r="B1231" s="7">
        <v>9843027.127034178</v>
      </c>
      <c r="C1231">
        <f t="shared" si="19"/>
        <v>1</v>
      </c>
    </row>
    <row r="1232" spans="1:3" x14ac:dyDescent="0.3">
      <c r="A1232">
        <v>1231</v>
      </c>
      <c r="B1232" s="7">
        <v>2938911.7731656185</v>
      </c>
      <c r="C1232">
        <f t="shared" si="19"/>
        <v>1</v>
      </c>
    </row>
    <row r="1233" spans="1:3" x14ac:dyDescent="0.3">
      <c r="A1233">
        <v>1232</v>
      </c>
      <c r="B1233" s="7">
        <v>4824853.1439227993</v>
      </c>
      <c r="C1233">
        <f t="shared" si="19"/>
        <v>1</v>
      </c>
    </row>
    <row r="1234" spans="1:3" x14ac:dyDescent="0.3">
      <c r="A1234">
        <v>1233</v>
      </c>
      <c r="B1234" s="7">
        <v>1331191.2848346238</v>
      </c>
      <c r="C1234">
        <f t="shared" si="19"/>
        <v>1</v>
      </c>
    </row>
    <row r="1235" spans="1:3" x14ac:dyDescent="0.3">
      <c r="A1235">
        <v>1234</v>
      </c>
      <c r="B1235" s="7">
        <v>5847731.5800218983</v>
      </c>
      <c r="C1235">
        <f t="shared" si="19"/>
        <v>1</v>
      </c>
    </row>
    <row r="1236" spans="1:3" x14ac:dyDescent="0.3">
      <c r="A1236">
        <v>1235</v>
      </c>
      <c r="B1236" s="7">
        <v>2896943.1264730976</v>
      </c>
      <c r="C1236">
        <f t="shared" si="19"/>
        <v>1</v>
      </c>
    </row>
    <row r="1237" spans="1:3" x14ac:dyDescent="0.3">
      <c r="A1237">
        <v>1236</v>
      </c>
      <c r="B1237" s="7">
        <v>2130035.0668226127</v>
      </c>
      <c r="C1237">
        <f t="shared" si="19"/>
        <v>1</v>
      </c>
    </row>
    <row r="1238" spans="1:3" x14ac:dyDescent="0.3">
      <c r="A1238">
        <v>1237</v>
      </c>
      <c r="B1238" s="7">
        <v>6042080.4815881923</v>
      </c>
      <c r="C1238">
        <f t="shared" si="19"/>
        <v>1</v>
      </c>
    </row>
    <row r="1239" spans="1:3" x14ac:dyDescent="0.3">
      <c r="A1239">
        <v>1238</v>
      </c>
      <c r="B1239" s="7">
        <v>32145350.659955189</v>
      </c>
      <c r="C1239">
        <f t="shared" si="19"/>
        <v>1</v>
      </c>
    </row>
    <row r="1240" spans="1:3" x14ac:dyDescent="0.3">
      <c r="A1240">
        <v>1239</v>
      </c>
      <c r="B1240" s="7">
        <v>3927610.1676271493</v>
      </c>
      <c r="C1240">
        <f t="shared" si="19"/>
        <v>1</v>
      </c>
    </row>
    <row r="1241" spans="1:3" x14ac:dyDescent="0.3">
      <c r="A1241">
        <v>1240</v>
      </c>
      <c r="B1241" s="7">
        <v>7182478.2642269228</v>
      </c>
      <c r="C1241">
        <f t="shared" si="19"/>
        <v>1</v>
      </c>
    </row>
    <row r="1242" spans="1:3" x14ac:dyDescent="0.3">
      <c r="A1242">
        <v>1241</v>
      </c>
      <c r="B1242" s="7">
        <v>2823471.8977144319</v>
      </c>
      <c r="C1242">
        <f t="shared" si="19"/>
        <v>1</v>
      </c>
    </row>
    <row r="1243" spans="1:3" x14ac:dyDescent="0.3">
      <c r="A1243">
        <v>1242</v>
      </c>
      <c r="B1243" s="7">
        <v>6726163.0036747055</v>
      </c>
      <c r="C1243">
        <f t="shared" si="19"/>
        <v>1</v>
      </c>
    </row>
    <row r="1244" spans="1:3" x14ac:dyDescent="0.3">
      <c r="A1244">
        <v>1243</v>
      </c>
      <c r="B1244" s="7">
        <v>4369035.363064331</v>
      </c>
      <c r="C1244">
        <f t="shared" si="19"/>
        <v>1</v>
      </c>
    </row>
    <row r="1245" spans="1:3" x14ac:dyDescent="0.3">
      <c r="A1245">
        <v>1244</v>
      </c>
      <c r="B1245" s="7">
        <v>2187082.417684339</v>
      </c>
      <c r="C1245">
        <f t="shared" si="19"/>
        <v>1</v>
      </c>
    </row>
    <row r="1246" spans="1:3" x14ac:dyDescent="0.3">
      <c r="A1246">
        <v>1245</v>
      </c>
      <c r="B1246" s="7">
        <v>4991117.8856179016</v>
      </c>
      <c r="C1246">
        <f t="shared" si="19"/>
        <v>1</v>
      </c>
    </row>
    <row r="1247" spans="1:3" x14ac:dyDescent="0.3">
      <c r="A1247">
        <v>1246</v>
      </c>
      <c r="B1247" s="7">
        <v>4837399.4764053924</v>
      </c>
      <c r="C1247">
        <f t="shared" si="19"/>
        <v>1</v>
      </c>
    </row>
    <row r="1248" spans="1:3" x14ac:dyDescent="0.3">
      <c r="A1248">
        <v>1247</v>
      </c>
      <c r="B1248" s="7">
        <v>4230696.1643623002</v>
      </c>
      <c r="C1248">
        <f t="shared" si="19"/>
        <v>1</v>
      </c>
    </row>
    <row r="1249" spans="1:3" x14ac:dyDescent="0.3">
      <c r="A1249">
        <v>1248</v>
      </c>
      <c r="B1249" s="7">
        <v>1774395.7926874403</v>
      </c>
      <c r="C1249">
        <f t="shared" si="19"/>
        <v>1</v>
      </c>
    </row>
    <row r="1250" spans="1:3" x14ac:dyDescent="0.3">
      <c r="A1250">
        <v>1249</v>
      </c>
      <c r="B1250" s="7">
        <v>6427938.6778556937</v>
      </c>
      <c r="C1250">
        <f t="shared" si="19"/>
        <v>1</v>
      </c>
    </row>
    <row r="1251" spans="1:3" x14ac:dyDescent="0.3">
      <c r="A1251">
        <v>1250</v>
      </c>
      <c r="B1251" s="7">
        <v>9950920.1865491699</v>
      </c>
      <c r="C1251">
        <f t="shared" si="19"/>
        <v>1</v>
      </c>
    </row>
    <row r="1252" spans="1:3" x14ac:dyDescent="0.3">
      <c r="A1252">
        <v>1251</v>
      </c>
      <c r="B1252" s="7">
        <v>2286885.6431401591</v>
      </c>
      <c r="C1252">
        <f t="shared" si="19"/>
        <v>1</v>
      </c>
    </row>
    <row r="1253" spans="1:3" x14ac:dyDescent="0.3">
      <c r="A1253">
        <v>1252</v>
      </c>
      <c r="B1253" s="7">
        <v>1280820.2621693066</v>
      </c>
      <c r="C1253">
        <f t="shared" si="19"/>
        <v>1</v>
      </c>
    </row>
    <row r="1254" spans="1:3" x14ac:dyDescent="0.3">
      <c r="A1254">
        <v>1253</v>
      </c>
      <c r="B1254" s="7">
        <v>29821153.795350879</v>
      </c>
      <c r="C1254">
        <f t="shared" si="19"/>
        <v>1</v>
      </c>
    </row>
    <row r="1255" spans="1:3" x14ac:dyDescent="0.3">
      <c r="A1255">
        <v>1254</v>
      </c>
      <c r="B1255" s="7">
        <v>4372105.2948008906</v>
      </c>
      <c r="C1255">
        <f t="shared" si="19"/>
        <v>1</v>
      </c>
    </row>
    <row r="1256" spans="1:3" x14ac:dyDescent="0.3">
      <c r="A1256">
        <v>1255</v>
      </c>
      <c r="B1256" s="7">
        <v>4746395.944253902</v>
      </c>
      <c r="C1256">
        <f t="shared" si="19"/>
        <v>1</v>
      </c>
    </row>
    <row r="1257" spans="1:3" x14ac:dyDescent="0.3">
      <c r="A1257">
        <v>1256</v>
      </c>
      <c r="B1257" s="7">
        <v>3146714.6606774135</v>
      </c>
      <c r="C1257">
        <f t="shared" si="19"/>
        <v>1</v>
      </c>
    </row>
    <row r="1258" spans="1:3" x14ac:dyDescent="0.3">
      <c r="A1258">
        <v>1257</v>
      </c>
      <c r="B1258" s="7">
        <v>5052307.0565823466</v>
      </c>
      <c r="C1258">
        <f t="shared" si="19"/>
        <v>1</v>
      </c>
    </row>
    <row r="1259" spans="1:3" x14ac:dyDescent="0.3">
      <c r="A1259">
        <v>1258</v>
      </c>
      <c r="B1259" s="7">
        <v>6251147.3758377414</v>
      </c>
      <c r="C1259">
        <f t="shared" si="19"/>
        <v>1</v>
      </c>
    </row>
    <row r="1260" spans="1:3" x14ac:dyDescent="0.3">
      <c r="A1260">
        <v>1259</v>
      </c>
      <c r="B1260" s="7">
        <v>2510600.9916922785</v>
      </c>
      <c r="C1260">
        <f t="shared" si="19"/>
        <v>1</v>
      </c>
    </row>
    <row r="1261" spans="1:3" x14ac:dyDescent="0.3">
      <c r="A1261">
        <v>1260</v>
      </c>
      <c r="B1261" s="7">
        <v>7897984.2201187313</v>
      </c>
      <c r="C1261">
        <f t="shared" si="19"/>
        <v>1</v>
      </c>
    </row>
    <row r="1262" spans="1:3" x14ac:dyDescent="0.3">
      <c r="A1262">
        <v>1261</v>
      </c>
      <c r="B1262" s="7">
        <v>4956599.5897290148</v>
      </c>
      <c r="C1262">
        <f t="shared" si="19"/>
        <v>1</v>
      </c>
    </row>
    <row r="1263" spans="1:3" x14ac:dyDescent="0.3">
      <c r="A1263">
        <v>1262</v>
      </c>
      <c r="B1263" s="7">
        <v>9221642.8452905193</v>
      </c>
      <c r="C1263">
        <f t="shared" si="19"/>
        <v>1</v>
      </c>
    </row>
    <row r="1264" spans="1:3" x14ac:dyDescent="0.3">
      <c r="A1264">
        <v>1263</v>
      </c>
      <c r="B1264" s="7">
        <v>9652307.8251112197</v>
      </c>
      <c r="C1264">
        <f t="shared" si="19"/>
        <v>1</v>
      </c>
    </row>
    <row r="1265" spans="1:3" x14ac:dyDescent="0.3">
      <c r="A1265">
        <v>1264</v>
      </c>
      <c r="B1265" s="7">
        <v>6832915.1916806893</v>
      </c>
      <c r="C1265">
        <f t="shared" si="19"/>
        <v>1</v>
      </c>
    </row>
    <row r="1266" spans="1:3" x14ac:dyDescent="0.3">
      <c r="A1266">
        <v>1265</v>
      </c>
      <c r="B1266" s="7">
        <v>9517148.9852610864</v>
      </c>
      <c r="C1266">
        <f t="shared" si="19"/>
        <v>1</v>
      </c>
    </row>
    <row r="1267" spans="1:3" x14ac:dyDescent="0.3">
      <c r="A1267">
        <v>1266</v>
      </c>
      <c r="B1267" s="7">
        <v>9974806.7043030765</v>
      </c>
      <c r="C1267">
        <f t="shared" si="19"/>
        <v>1</v>
      </c>
    </row>
    <row r="1268" spans="1:3" x14ac:dyDescent="0.3">
      <c r="A1268">
        <v>1267</v>
      </c>
      <c r="B1268" s="7">
        <v>11896693.080417732</v>
      </c>
      <c r="C1268">
        <f t="shared" si="19"/>
        <v>1</v>
      </c>
    </row>
    <row r="1269" spans="1:3" x14ac:dyDescent="0.3">
      <c r="A1269">
        <v>1268</v>
      </c>
      <c r="B1269" s="7">
        <v>12455919.811728526</v>
      </c>
      <c r="C1269">
        <f t="shared" si="19"/>
        <v>1</v>
      </c>
    </row>
    <row r="1270" spans="1:3" x14ac:dyDescent="0.3">
      <c r="A1270">
        <v>1269</v>
      </c>
      <c r="B1270" s="7">
        <v>1065663.1176979921</v>
      </c>
      <c r="C1270">
        <f t="shared" si="19"/>
        <v>1</v>
      </c>
    </row>
    <row r="1271" spans="1:3" x14ac:dyDescent="0.3">
      <c r="A1271">
        <v>1270</v>
      </c>
      <c r="B1271" s="7">
        <v>6104702.5426887805</v>
      </c>
      <c r="C1271">
        <f t="shared" si="19"/>
        <v>1</v>
      </c>
    </row>
    <row r="1272" spans="1:3" x14ac:dyDescent="0.3">
      <c r="A1272">
        <v>1271</v>
      </c>
      <c r="B1272" s="7">
        <v>3072065.8536381116</v>
      </c>
      <c r="C1272">
        <f t="shared" si="19"/>
        <v>1</v>
      </c>
    </row>
    <row r="1273" spans="1:3" x14ac:dyDescent="0.3">
      <c r="A1273">
        <v>1272</v>
      </c>
      <c r="B1273" s="7">
        <v>2635688.5048551713</v>
      </c>
      <c r="C1273">
        <f t="shared" si="19"/>
        <v>1</v>
      </c>
    </row>
    <row r="1274" spans="1:3" x14ac:dyDescent="0.3">
      <c r="A1274">
        <v>1273</v>
      </c>
      <c r="B1274" s="7">
        <v>3777215.5826752982</v>
      </c>
      <c r="C1274">
        <f t="shared" si="19"/>
        <v>1</v>
      </c>
    </row>
    <row r="1275" spans="1:3" x14ac:dyDescent="0.3">
      <c r="A1275">
        <v>1274</v>
      </c>
      <c r="B1275" s="7">
        <v>9359419.4617597759</v>
      </c>
      <c r="C1275">
        <f t="shared" si="19"/>
        <v>1</v>
      </c>
    </row>
    <row r="1276" spans="1:3" x14ac:dyDescent="0.3">
      <c r="A1276">
        <v>1275</v>
      </c>
      <c r="B1276" s="7">
        <v>6769312.0777273225</v>
      </c>
      <c r="C1276">
        <f t="shared" si="19"/>
        <v>1</v>
      </c>
    </row>
    <row r="1277" spans="1:3" x14ac:dyDescent="0.3">
      <c r="A1277">
        <v>1276</v>
      </c>
      <c r="B1277" s="7">
        <v>13261201.812609714</v>
      </c>
      <c r="C1277">
        <f t="shared" si="19"/>
        <v>1</v>
      </c>
    </row>
    <row r="1278" spans="1:3" x14ac:dyDescent="0.3">
      <c r="A1278">
        <v>1277</v>
      </c>
      <c r="B1278" s="7">
        <v>3384620.9432730898</v>
      </c>
      <c r="C1278">
        <f t="shared" si="19"/>
        <v>1</v>
      </c>
    </row>
    <row r="1279" spans="1:3" x14ac:dyDescent="0.3">
      <c r="A1279">
        <v>1278</v>
      </c>
      <c r="B1279" s="7">
        <v>3964422.1334914146</v>
      </c>
      <c r="C1279">
        <f t="shared" si="19"/>
        <v>1</v>
      </c>
    </row>
    <row r="1280" spans="1:3" x14ac:dyDescent="0.3">
      <c r="A1280">
        <v>1279</v>
      </c>
      <c r="B1280" s="7">
        <v>3488720.7128569409</v>
      </c>
      <c r="C1280">
        <f t="shared" si="19"/>
        <v>1</v>
      </c>
    </row>
    <row r="1281" spans="1:3" x14ac:dyDescent="0.3">
      <c r="A1281">
        <v>1280</v>
      </c>
      <c r="B1281" s="7">
        <v>1469077.6333848471</v>
      </c>
      <c r="C1281">
        <f t="shared" si="19"/>
        <v>1</v>
      </c>
    </row>
    <row r="1282" spans="1:3" x14ac:dyDescent="0.3">
      <c r="A1282">
        <v>1281</v>
      </c>
      <c r="B1282" s="7">
        <v>3490638.9333976866</v>
      </c>
      <c r="C1282">
        <f t="shared" si="19"/>
        <v>1</v>
      </c>
    </row>
    <row r="1283" spans="1:3" x14ac:dyDescent="0.3">
      <c r="A1283">
        <v>1282</v>
      </c>
      <c r="B1283" s="7">
        <v>6172333.711011216</v>
      </c>
      <c r="C1283">
        <f t="shared" ref="C1283:C1346" si="20">IF(B1283=0,0,1)</f>
        <v>1</v>
      </c>
    </row>
    <row r="1284" spans="1:3" x14ac:dyDescent="0.3">
      <c r="A1284">
        <v>1283</v>
      </c>
      <c r="B1284" s="7">
        <v>6182616.8309053276</v>
      </c>
      <c r="C1284">
        <f t="shared" si="20"/>
        <v>1</v>
      </c>
    </row>
    <row r="1285" spans="1:3" x14ac:dyDescent="0.3">
      <c r="A1285">
        <v>1284</v>
      </c>
      <c r="B1285" s="7">
        <v>0</v>
      </c>
      <c r="C1285">
        <f t="shared" si="20"/>
        <v>0</v>
      </c>
    </row>
    <row r="1286" spans="1:3" x14ac:dyDescent="0.3">
      <c r="A1286">
        <v>1285</v>
      </c>
      <c r="B1286" s="7">
        <v>0</v>
      </c>
      <c r="C1286">
        <f t="shared" si="20"/>
        <v>0</v>
      </c>
    </row>
    <row r="1287" spans="1:3" x14ac:dyDescent="0.3">
      <c r="A1287">
        <v>1286</v>
      </c>
      <c r="B1287" s="7">
        <v>2543096.7023096699</v>
      </c>
      <c r="C1287">
        <f t="shared" si="20"/>
        <v>1</v>
      </c>
    </row>
    <row r="1288" spans="1:3" x14ac:dyDescent="0.3">
      <c r="A1288">
        <v>1287</v>
      </c>
      <c r="B1288" s="7">
        <v>4820109.3504162692</v>
      </c>
      <c r="C1288">
        <f t="shared" si="20"/>
        <v>1</v>
      </c>
    </row>
    <row r="1289" spans="1:3" x14ac:dyDescent="0.3">
      <c r="A1289">
        <v>1288</v>
      </c>
      <c r="B1289" s="7">
        <v>1405260.5655198744</v>
      </c>
      <c r="C1289">
        <f t="shared" si="20"/>
        <v>1</v>
      </c>
    </row>
    <row r="1290" spans="1:3" x14ac:dyDescent="0.3">
      <c r="A1290">
        <v>1289</v>
      </c>
      <c r="B1290" s="7">
        <v>5067144.6060487684</v>
      </c>
      <c r="C1290">
        <f t="shared" si="20"/>
        <v>1</v>
      </c>
    </row>
    <row r="1291" spans="1:3" x14ac:dyDescent="0.3">
      <c r="A1291">
        <v>1290</v>
      </c>
      <c r="B1291" s="7">
        <v>2278493.1607217882</v>
      </c>
      <c r="C1291">
        <f t="shared" si="20"/>
        <v>1</v>
      </c>
    </row>
    <row r="1292" spans="1:3" x14ac:dyDescent="0.3">
      <c r="A1292">
        <v>1291</v>
      </c>
      <c r="B1292" s="7">
        <v>10412121.924452296</v>
      </c>
      <c r="C1292">
        <f t="shared" si="20"/>
        <v>1</v>
      </c>
    </row>
    <row r="1293" spans="1:3" x14ac:dyDescent="0.3">
      <c r="A1293">
        <v>1292</v>
      </c>
      <c r="B1293" s="7">
        <v>1325552.4416166774</v>
      </c>
      <c r="C1293">
        <f t="shared" si="20"/>
        <v>1</v>
      </c>
    </row>
    <row r="1294" spans="1:3" x14ac:dyDescent="0.3">
      <c r="A1294">
        <v>1293</v>
      </c>
      <c r="B1294" s="7">
        <v>11569393.843109565</v>
      </c>
      <c r="C1294">
        <f t="shared" si="20"/>
        <v>1</v>
      </c>
    </row>
    <row r="1295" spans="1:3" x14ac:dyDescent="0.3">
      <c r="A1295">
        <v>1294</v>
      </c>
      <c r="B1295" s="7">
        <v>15038912.95568159</v>
      </c>
      <c r="C1295">
        <f t="shared" si="20"/>
        <v>1</v>
      </c>
    </row>
    <row r="1296" spans="1:3" x14ac:dyDescent="0.3">
      <c r="A1296">
        <v>1295</v>
      </c>
      <c r="B1296" s="7">
        <v>5895056.201830525</v>
      </c>
      <c r="C1296">
        <f t="shared" si="20"/>
        <v>1</v>
      </c>
    </row>
    <row r="1297" spans="1:3" x14ac:dyDescent="0.3">
      <c r="A1297">
        <v>1296</v>
      </c>
      <c r="B1297" s="7">
        <v>3853706.7478887518</v>
      </c>
      <c r="C1297">
        <f t="shared" si="20"/>
        <v>1</v>
      </c>
    </row>
    <row r="1298" spans="1:3" x14ac:dyDescent="0.3">
      <c r="A1298">
        <v>1297</v>
      </c>
      <c r="B1298" s="7">
        <v>7317622.5706201289</v>
      </c>
      <c r="C1298">
        <f t="shared" si="20"/>
        <v>1</v>
      </c>
    </row>
    <row r="1299" spans="1:3" x14ac:dyDescent="0.3">
      <c r="A1299">
        <v>1298</v>
      </c>
      <c r="B1299" s="7">
        <v>3741580.4635793143</v>
      </c>
      <c r="C1299">
        <f t="shared" si="20"/>
        <v>1</v>
      </c>
    </row>
    <row r="1300" spans="1:3" x14ac:dyDescent="0.3">
      <c r="A1300">
        <v>1299</v>
      </c>
      <c r="B1300" s="7">
        <v>5173261.9146296224</v>
      </c>
      <c r="C1300">
        <f t="shared" si="20"/>
        <v>1</v>
      </c>
    </row>
    <row r="1301" spans="1:3" x14ac:dyDescent="0.3">
      <c r="A1301">
        <v>1300</v>
      </c>
      <c r="B1301" s="7">
        <v>1878450.3256372649</v>
      </c>
      <c r="C1301">
        <f t="shared" si="20"/>
        <v>1</v>
      </c>
    </row>
    <row r="1302" spans="1:3" x14ac:dyDescent="0.3">
      <c r="A1302">
        <v>1301</v>
      </c>
      <c r="B1302" s="7">
        <v>5681203.7667895276</v>
      </c>
      <c r="C1302">
        <f t="shared" si="20"/>
        <v>1</v>
      </c>
    </row>
    <row r="1303" spans="1:3" x14ac:dyDescent="0.3">
      <c r="A1303">
        <v>1302</v>
      </c>
      <c r="B1303" s="7">
        <v>17579247.827990353</v>
      </c>
      <c r="C1303">
        <f t="shared" si="20"/>
        <v>1</v>
      </c>
    </row>
    <row r="1304" spans="1:3" x14ac:dyDescent="0.3">
      <c r="A1304">
        <v>1303</v>
      </c>
      <c r="B1304" s="7">
        <v>3130455.544481148</v>
      </c>
      <c r="C1304">
        <f t="shared" si="20"/>
        <v>1</v>
      </c>
    </row>
    <row r="1305" spans="1:3" x14ac:dyDescent="0.3">
      <c r="A1305">
        <v>1304</v>
      </c>
      <c r="B1305" s="7">
        <v>6949855.1017493522</v>
      </c>
      <c r="C1305">
        <f t="shared" si="20"/>
        <v>1</v>
      </c>
    </row>
    <row r="1306" spans="1:3" x14ac:dyDescent="0.3">
      <c r="A1306">
        <v>1305</v>
      </c>
      <c r="B1306" s="7">
        <v>4846078.7365508843</v>
      </c>
      <c r="C1306">
        <f t="shared" si="20"/>
        <v>1</v>
      </c>
    </row>
    <row r="1307" spans="1:3" x14ac:dyDescent="0.3">
      <c r="A1307">
        <v>1306</v>
      </c>
      <c r="B1307" s="7">
        <v>15580396.870384354</v>
      </c>
      <c r="C1307">
        <f t="shared" si="20"/>
        <v>1</v>
      </c>
    </row>
    <row r="1308" spans="1:3" x14ac:dyDescent="0.3">
      <c r="A1308">
        <v>1307</v>
      </c>
      <c r="B1308" s="7">
        <v>3021566.4831382846</v>
      </c>
      <c r="C1308">
        <f t="shared" si="20"/>
        <v>1</v>
      </c>
    </row>
    <row r="1309" spans="1:3" x14ac:dyDescent="0.3">
      <c r="A1309">
        <v>1308</v>
      </c>
      <c r="B1309" s="7">
        <v>2266963.3467597724</v>
      </c>
      <c r="C1309">
        <f t="shared" si="20"/>
        <v>1</v>
      </c>
    </row>
    <row r="1310" spans="1:3" x14ac:dyDescent="0.3">
      <c r="A1310">
        <v>1309</v>
      </c>
      <c r="B1310" s="7">
        <v>3195287.2902494655</v>
      </c>
      <c r="C1310">
        <f t="shared" si="20"/>
        <v>1</v>
      </c>
    </row>
    <row r="1311" spans="1:3" x14ac:dyDescent="0.3">
      <c r="A1311">
        <v>1310</v>
      </c>
      <c r="B1311" s="7">
        <v>6253951.0834878236</v>
      </c>
      <c r="C1311">
        <f t="shared" si="20"/>
        <v>1</v>
      </c>
    </row>
    <row r="1312" spans="1:3" x14ac:dyDescent="0.3">
      <c r="A1312">
        <v>1311</v>
      </c>
      <c r="B1312" s="7">
        <v>10048373.508180084</v>
      </c>
      <c r="C1312">
        <f t="shared" si="20"/>
        <v>1</v>
      </c>
    </row>
    <row r="1313" spans="1:3" x14ac:dyDescent="0.3">
      <c r="A1313">
        <v>1312</v>
      </c>
      <c r="B1313" s="7">
        <v>3714622.5455808206</v>
      </c>
      <c r="C1313">
        <f t="shared" si="20"/>
        <v>1</v>
      </c>
    </row>
    <row r="1314" spans="1:3" x14ac:dyDescent="0.3">
      <c r="A1314">
        <v>1313</v>
      </c>
      <c r="B1314" s="7">
        <v>5667314.6146052144</v>
      </c>
      <c r="C1314">
        <f t="shared" si="20"/>
        <v>1</v>
      </c>
    </row>
    <row r="1315" spans="1:3" x14ac:dyDescent="0.3">
      <c r="A1315">
        <v>1314</v>
      </c>
      <c r="B1315" s="7">
        <v>2054689.0240208029</v>
      </c>
      <c r="C1315">
        <f t="shared" si="20"/>
        <v>1</v>
      </c>
    </row>
    <row r="1316" spans="1:3" x14ac:dyDescent="0.3">
      <c r="A1316">
        <v>1315</v>
      </c>
      <c r="B1316" s="7">
        <v>0</v>
      </c>
      <c r="C1316">
        <f t="shared" si="20"/>
        <v>0</v>
      </c>
    </row>
    <row r="1317" spans="1:3" x14ac:dyDescent="0.3">
      <c r="A1317">
        <v>1316</v>
      </c>
      <c r="B1317" s="7">
        <v>6001683.3629689515</v>
      </c>
      <c r="C1317">
        <f t="shared" si="20"/>
        <v>1</v>
      </c>
    </row>
    <row r="1318" spans="1:3" x14ac:dyDescent="0.3">
      <c r="A1318">
        <v>1317</v>
      </c>
      <c r="B1318" s="7">
        <v>2686357.4459936791</v>
      </c>
      <c r="C1318">
        <f t="shared" si="20"/>
        <v>1</v>
      </c>
    </row>
    <row r="1319" spans="1:3" x14ac:dyDescent="0.3">
      <c r="A1319">
        <v>1318</v>
      </c>
      <c r="B1319" s="7">
        <v>2481006.6808616472</v>
      </c>
      <c r="C1319">
        <f t="shared" si="20"/>
        <v>1</v>
      </c>
    </row>
    <row r="1320" spans="1:3" x14ac:dyDescent="0.3">
      <c r="A1320">
        <v>1319</v>
      </c>
      <c r="B1320" s="7">
        <v>18780311.088632222</v>
      </c>
      <c r="C1320">
        <f t="shared" si="20"/>
        <v>1</v>
      </c>
    </row>
    <row r="1321" spans="1:3" x14ac:dyDescent="0.3">
      <c r="A1321">
        <v>1320</v>
      </c>
      <c r="B1321" s="7">
        <v>0</v>
      </c>
      <c r="C1321">
        <f t="shared" si="20"/>
        <v>0</v>
      </c>
    </row>
    <row r="1322" spans="1:3" x14ac:dyDescent="0.3">
      <c r="A1322">
        <v>1321</v>
      </c>
      <c r="B1322" s="7">
        <v>1515036.7527226976</v>
      </c>
      <c r="C1322">
        <f t="shared" si="20"/>
        <v>1</v>
      </c>
    </row>
    <row r="1323" spans="1:3" x14ac:dyDescent="0.3">
      <c r="A1323">
        <v>1322</v>
      </c>
      <c r="B1323" s="7">
        <v>3473025.3915138454</v>
      </c>
      <c r="C1323">
        <f t="shared" si="20"/>
        <v>1</v>
      </c>
    </row>
    <row r="1324" spans="1:3" x14ac:dyDescent="0.3">
      <c r="A1324">
        <v>1323</v>
      </c>
      <c r="B1324" s="7">
        <v>2188969.2375248191</v>
      </c>
      <c r="C1324">
        <f t="shared" si="20"/>
        <v>1</v>
      </c>
    </row>
    <row r="1325" spans="1:3" x14ac:dyDescent="0.3">
      <c r="A1325">
        <v>1324</v>
      </c>
      <c r="B1325" s="7">
        <v>3653550.1157208183</v>
      </c>
      <c r="C1325">
        <f t="shared" si="20"/>
        <v>1</v>
      </c>
    </row>
    <row r="1326" spans="1:3" x14ac:dyDescent="0.3">
      <c r="A1326">
        <v>1325</v>
      </c>
      <c r="B1326" s="7">
        <v>815222.30611025426</v>
      </c>
      <c r="C1326">
        <f t="shared" si="20"/>
        <v>1</v>
      </c>
    </row>
    <row r="1327" spans="1:3" x14ac:dyDescent="0.3">
      <c r="A1327">
        <v>1326</v>
      </c>
      <c r="B1327" s="7">
        <v>8320855.1166543141</v>
      </c>
      <c r="C1327">
        <f t="shared" si="20"/>
        <v>1</v>
      </c>
    </row>
    <row r="1328" spans="1:3" x14ac:dyDescent="0.3">
      <c r="A1328">
        <v>1327</v>
      </c>
      <c r="B1328" s="7">
        <v>8141764.1215427779</v>
      </c>
      <c r="C1328">
        <f t="shared" si="20"/>
        <v>1</v>
      </c>
    </row>
    <row r="1329" spans="1:3" x14ac:dyDescent="0.3">
      <c r="A1329">
        <v>1328</v>
      </c>
      <c r="B1329" s="7">
        <v>9047140.7613595147</v>
      </c>
      <c r="C1329">
        <f t="shared" si="20"/>
        <v>1</v>
      </c>
    </row>
    <row r="1330" spans="1:3" x14ac:dyDescent="0.3">
      <c r="A1330">
        <v>1329</v>
      </c>
      <c r="B1330" s="7">
        <v>4175670.5064578461</v>
      </c>
      <c r="C1330">
        <f t="shared" si="20"/>
        <v>1</v>
      </c>
    </row>
    <row r="1331" spans="1:3" x14ac:dyDescent="0.3">
      <c r="A1331">
        <v>1330</v>
      </c>
      <c r="B1331" s="7">
        <v>5548271.9638784733</v>
      </c>
      <c r="C1331">
        <f t="shared" si="20"/>
        <v>1</v>
      </c>
    </row>
    <row r="1332" spans="1:3" x14ac:dyDescent="0.3">
      <c r="A1332">
        <v>1331</v>
      </c>
      <c r="B1332" s="7">
        <v>3864703.3516665129</v>
      </c>
      <c r="C1332">
        <f t="shared" si="20"/>
        <v>1</v>
      </c>
    </row>
    <row r="1333" spans="1:3" x14ac:dyDescent="0.3">
      <c r="A1333">
        <v>1332</v>
      </c>
      <c r="B1333" s="7">
        <v>1914530.2163191792</v>
      </c>
      <c r="C1333">
        <f t="shared" si="20"/>
        <v>1</v>
      </c>
    </row>
    <row r="1334" spans="1:3" x14ac:dyDescent="0.3">
      <c r="A1334">
        <v>1333</v>
      </c>
      <c r="B1334" s="7">
        <v>6665067.8631735649</v>
      </c>
      <c r="C1334">
        <f t="shared" si="20"/>
        <v>1</v>
      </c>
    </row>
    <row r="1335" spans="1:3" x14ac:dyDescent="0.3">
      <c r="A1335">
        <v>1334</v>
      </c>
      <c r="B1335" s="7">
        <v>1145088.7852322923</v>
      </c>
      <c r="C1335">
        <f t="shared" si="20"/>
        <v>1</v>
      </c>
    </row>
    <row r="1336" spans="1:3" x14ac:dyDescent="0.3">
      <c r="A1336">
        <v>1335</v>
      </c>
      <c r="B1336" s="7">
        <v>4504711.6670051813</v>
      </c>
      <c r="C1336">
        <f t="shared" si="20"/>
        <v>1</v>
      </c>
    </row>
    <row r="1337" spans="1:3" x14ac:dyDescent="0.3">
      <c r="A1337">
        <v>1336</v>
      </c>
      <c r="B1337" s="7">
        <v>1453510.4562677832</v>
      </c>
      <c r="C1337">
        <f t="shared" si="20"/>
        <v>1</v>
      </c>
    </row>
    <row r="1338" spans="1:3" x14ac:dyDescent="0.3">
      <c r="A1338">
        <v>1337</v>
      </c>
      <c r="B1338" s="7">
        <v>6494154.1586032966</v>
      </c>
      <c r="C1338">
        <f t="shared" si="20"/>
        <v>1</v>
      </c>
    </row>
    <row r="1339" spans="1:3" x14ac:dyDescent="0.3">
      <c r="A1339">
        <v>1338</v>
      </c>
      <c r="B1339" s="7">
        <v>15191465.149334406</v>
      </c>
      <c r="C1339">
        <f t="shared" si="20"/>
        <v>1</v>
      </c>
    </row>
    <row r="1340" spans="1:3" x14ac:dyDescent="0.3">
      <c r="A1340">
        <v>1339</v>
      </c>
      <c r="B1340" s="7">
        <v>900026.62604200235</v>
      </c>
      <c r="C1340">
        <f t="shared" si="20"/>
        <v>1</v>
      </c>
    </row>
    <row r="1341" spans="1:3" x14ac:dyDescent="0.3">
      <c r="A1341">
        <v>1340</v>
      </c>
      <c r="B1341" s="7">
        <v>1367819.6005552202</v>
      </c>
      <c r="C1341">
        <f t="shared" si="20"/>
        <v>1</v>
      </c>
    </row>
    <row r="1342" spans="1:3" x14ac:dyDescent="0.3">
      <c r="A1342">
        <v>1341</v>
      </c>
      <c r="B1342" s="7">
        <v>5002734.4522848325</v>
      </c>
      <c r="C1342">
        <f t="shared" si="20"/>
        <v>1</v>
      </c>
    </row>
    <row r="1343" spans="1:3" x14ac:dyDescent="0.3">
      <c r="A1343">
        <v>1342</v>
      </c>
      <c r="B1343" s="7">
        <v>1373558.6941432573</v>
      </c>
      <c r="C1343">
        <f t="shared" si="20"/>
        <v>1</v>
      </c>
    </row>
    <row r="1344" spans="1:3" x14ac:dyDescent="0.3">
      <c r="A1344">
        <v>1343</v>
      </c>
      <c r="B1344" s="7">
        <v>3118873.830168542</v>
      </c>
      <c r="C1344">
        <f t="shared" si="20"/>
        <v>1</v>
      </c>
    </row>
    <row r="1345" spans="1:3" x14ac:dyDescent="0.3">
      <c r="A1345">
        <v>1344</v>
      </c>
      <c r="B1345" s="7">
        <v>3927084.3863829942</v>
      </c>
      <c r="C1345">
        <f t="shared" si="20"/>
        <v>1</v>
      </c>
    </row>
    <row r="1346" spans="1:3" x14ac:dyDescent="0.3">
      <c r="A1346">
        <v>1345</v>
      </c>
      <c r="B1346" s="7">
        <v>9727111.9346245658</v>
      </c>
      <c r="C1346">
        <f t="shared" si="20"/>
        <v>1</v>
      </c>
    </row>
    <row r="1347" spans="1:3" x14ac:dyDescent="0.3">
      <c r="A1347">
        <v>1346</v>
      </c>
      <c r="B1347" s="7">
        <v>2086153.8538838939</v>
      </c>
      <c r="C1347">
        <f t="shared" ref="C1347:C1410" si="21">IF(B1347=0,0,1)</f>
        <v>1</v>
      </c>
    </row>
    <row r="1348" spans="1:3" x14ac:dyDescent="0.3">
      <c r="A1348">
        <v>1347</v>
      </c>
      <c r="B1348" s="7">
        <v>13120461.054491997</v>
      </c>
      <c r="C1348">
        <f t="shared" si="21"/>
        <v>1</v>
      </c>
    </row>
    <row r="1349" spans="1:3" x14ac:dyDescent="0.3">
      <c r="A1349">
        <v>1348</v>
      </c>
      <c r="B1349" s="7">
        <v>4763120.4333091956</v>
      </c>
      <c r="C1349">
        <f t="shared" si="21"/>
        <v>1</v>
      </c>
    </row>
    <row r="1350" spans="1:3" x14ac:dyDescent="0.3">
      <c r="A1350">
        <v>1349</v>
      </c>
      <c r="B1350" s="7">
        <v>10799291.452957133</v>
      </c>
      <c r="C1350">
        <f t="shared" si="21"/>
        <v>1</v>
      </c>
    </row>
    <row r="1351" spans="1:3" x14ac:dyDescent="0.3">
      <c r="A1351">
        <v>1350</v>
      </c>
      <c r="B1351" s="7">
        <v>6315768.133304758</v>
      </c>
      <c r="C1351">
        <f t="shared" si="21"/>
        <v>1</v>
      </c>
    </row>
    <row r="1352" spans="1:3" x14ac:dyDescent="0.3">
      <c r="A1352">
        <v>1351</v>
      </c>
      <c r="B1352" s="7">
        <v>1651610.1007131189</v>
      </c>
      <c r="C1352">
        <f t="shared" si="21"/>
        <v>1</v>
      </c>
    </row>
    <row r="1353" spans="1:3" x14ac:dyDescent="0.3">
      <c r="A1353">
        <v>1352</v>
      </c>
      <c r="B1353" s="7">
        <v>14961536.645280521</v>
      </c>
      <c r="C1353">
        <f t="shared" si="21"/>
        <v>1</v>
      </c>
    </row>
    <row r="1354" spans="1:3" x14ac:dyDescent="0.3">
      <c r="A1354">
        <v>1353</v>
      </c>
      <c r="B1354" s="7">
        <v>5364412.4256530544</v>
      </c>
      <c r="C1354">
        <f t="shared" si="21"/>
        <v>1</v>
      </c>
    </row>
    <row r="1355" spans="1:3" x14ac:dyDescent="0.3">
      <c r="A1355">
        <v>1354</v>
      </c>
      <c r="B1355" s="7">
        <v>11302295.445125887</v>
      </c>
      <c r="C1355">
        <f t="shared" si="21"/>
        <v>1</v>
      </c>
    </row>
    <row r="1356" spans="1:3" x14ac:dyDescent="0.3">
      <c r="A1356">
        <v>1355</v>
      </c>
      <c r="B1356" s="7">
        <v>11782504.272039182</v>
      </c>
      <c r="C1356">
        <f t="shared" si="21"/>
        <v>1</v>
      </c>
    </row>
    <row r="1357" spans="1:3" x14ac:dyDescent="0.3">
      <c r="A1357">
        <v>1356</v>
      </c>
      <c r="B1357" s="7">
        <v>9800154.0457441825</v>
      </c>
      <c r="C1357">
        <f t="shared" si="21"/>
        <v>1</v>
      </c>
    </row>
    <row r="1358" spans="1:3" x14ac:dyDescent="0.3">
      <c r="A1358">
        <v>1357</v>
      </c>
      <c r="B1358" s="7">
        <v>8665638.5827798359</v>
      </c>
      <c r="C1358">
        <f t="shared" si="21"/>
        <v>1</v>
      </c>
    </row>
    <row r="1359" spans="1:3" x14ac:dyDescent="0.3">
      <c r="A1359">
        <v>1358</v>
      </c>
      <c r="B1359" s="7">
        <v>5155441.4060570635</v>
      </c>
      <c r="C1359">
        <f t="shared" si="21"/>
        <v>1</v>
      </c>
    </row>
    <row r="1360" spans="1:3" x14ac:dyDescent="0.3">
      <c r="A1360">
        <v>1359</v>
      </c>
      <c r="B1360" s="7">
        <v>9426995.8963341974</v>
      </c>
      <c r="C1360">
        <f t="shared" si="21"/>
        <v>1</v>
      </c>
    </row>
    <row r="1361" spans="1:3" x14ac:dyDescent="0.3">
      <c r="A1361">
        <v>1360</v>
      </c>
      <c r="B1361" s="7">
        <v>4379497.2732609846</v>
      </c>
      <c r="C1361">
        <f t="shared" si="21"/>
        <v>1</v>
      </c>
    </row>
    <row r="1362" spans="1:3" x14ac:dyDescent="0.3">
      <c r="A1362">
        <v>1361</v>
      </c>
      <c r="B1362" s="7">
        <v>5180291.4472505264</v>
      </c>
      <c r="C1362">
        <f t="shared" si="21"/>
        <v>1</v>
      </c>
    </row>
    <row r="1363" spans="1:3" x14ac:dyDescent="0.3">
      <c r="A1363">
        <v>1362</v>
      </c>
      <c r="B1363" s="7">
        <v>3904615.5189083614</v>
      </c>
      <c r="C1363">
        <f t="shared" si="21"/>
        <v>1</v>
      </c>
    </row>
    <row r="1364" spans="1:3" x14ac:dyDescent="0.3">
      <c r="A1364">
        <v>1363</v>
      </c>
      <c r="B1364" s="7">
        <v>3395661.8754116413</v>
      </c>
      <c r="C1364">
        <f t="shared" si="21"/>
        <v>1</v>
      </c>
    </row>
    <row r="1365" spans="1:3" x14ac:dyDescent="0.3">
      <c r="A1365">
        <v>1364</v>
      </c>
      <c r="B1365" s="7">
        <v>7628862.3960379725</v>
      </c>
      <c r="C1365">
        <f t="shared" si="21"/>
        <v>1</v>
      </c>
    </row>
    <row r="1366" spans="1:3" x14ac:dyDescent="0.3">
      <c r="A1366">
        <v>1365</v>
      </c>
      <c r="B1366" s="7">
        <v>1594000.1850634885</v>
      </c>
      <c r="C1366">
        <f t="shared" si="21"/>
        <v>1</v>
      </c>
    </row>
    <row r="1367" spans="1:3" x14ac:dyDescent="0.3">
      <c r="A1367">
        <v>1366</v>
      </c>
      <c r="B1367" s="7">
        <v>1492212.7787153206</v>
      </c>
      <c r="C1367">
        <f t="shared" si="21"/>
        <v>1</v>
      </c>
    </row>
    <row r="1368" spans="1:3" x14ac:dyDescent="0.3">
      <c r="A1368">
        <v>1367</v>
      </c>
      <c r="B1368" s="7">
        <v>5148868.9988303287</v>
      </c>
      <c r="C1368">
        <f t="shared" si="21"/>
        <v>1</v>
      </c>
    </row>
    <row r="1369" spans="1:3" x14ac:dyDescent="0.3">
      <c r="A1369">
        <v>1368</v>
      </c>
      <c r="B1369" s="7">
        <v>8678678.1982344724</v>
      </c>
      <c r="C1369">
        <f t="shared" si="21"/>
        <v>1</v>
      </c>
    </row>
    <row r="1370" spans="1:3" x14ac:dyDescent="0.3">
      <c r="A1370">
        <v>1369</v>
      </c>
      <c r="B1370" s="7">
        <v>8458365.6186123025</v>
      </c>
      <c r="C1370">
        <f t="shared" si="21"/>
        <v>1</v>
      </c>
    </row>
    <row r="1371" spans="1:3" x14ac:dyDescent="0.3">
      <c r="A1371">
        <v>1370</v>
      </c>
      <c r="B1371" s="7">
        <v>5994635.0401022304</v>
      </c>
      <c r="C1371">
        <f t="shared" si="21"/>
        <v>1</v>
      </c>
    </row>
    <row r="1372" spans="1:3" x14ac:dyDescent="0.3">
      <c r="A1372">
        <v>1371</v>
      </c>
      <c r="B1372" s="7">
        <v>2626738.7528286115</v>
      </c>
      <c r="C1372">
        <f t="shared" si="21"/>
        <v>1</v>
      </c>
    </row>
    <row r="1373" spans="1:3" x14ac:dyDescent="0.3">
      <c r="A1373">
        <v>1372</v>
      </c>
      <c r="B1373" s="7">
        <v>5077292.6034701308</v>
      </c>
      <c r="C1373">
        <f t="shared" si="21"/>
        <v>1</v>
      </c>
    </row>
    <row r="1374" spans="1:3" x14ac:dyDescent="0.3">
      <c r="A1374">
        <v>1373</v>
      </c>
      <c r="B1374" s="7">
        <v>3165775.5522699645</v>
      </c>
      <c r="C1374">
        <f t="shared" si="21"/>
        <v>1</v>
      </c>
    </row>
    <row r="1375" spans="1:3" x14ac:dyDescent="0.3">
      <c r="A1375">
        <v>1374</v>
      </c>
      <c r="B1375" s="7">
        <v>10648650.441096254</v>
      </c>
      <c r="C1375">
        <f t="shared" si="21"/>
        <v>1</v>
      </c>
    </row>
    <row r="1376" spans="1:3" x14ac:dyDescent="0.3">
      <c r="A1376">
        <v>1375</v>
      </c>
      <c r="B1376" s="7">
        <v>2213940.2059058053</v>
      </c>
      <c r="C1376">
        <f t="shared" si="21"/>
        <v>1</v>
      </c>
    </row>
    <row r="1377" spans="1:3" x14ac:dyDescent="0.3">
      <c r="A1377">
        <v>1376</v>
      </c>
      <c r="B1377" s="7">
        <v>5543987.0641188845</v>
      </c>
      <c r="C1377">
        <f t="shared" si="21"/>
        <v>1</v>
      </c>
    </row>
    <row r="1378" spans="1:3" x14ac:dyDescent="0.3">
      <c r="A1378">
        <v>1377</v>
      </c>
      <c r="B1378" s="7">
        <v>3257499.3522210554</v>
      </c>
      <c r="C1378">
        <f t="shared" si="21"/>
        <v>1</v>
      </c>
    </row>
    <row r="1379" spans="1:3" x14ac:dyDescent="0.3">
      <c r="A1379">
        <v>1378</v>
      </c>
      <c r="B1379" s="7">
        <v>7089541.1125085354</v>
      </c>
      <c r="C1379">
        <f t="shared" si="21"/>
        <v>1</v>
      </c>
    </row>
    <row r="1380" spans="1:3" x14ac:dyDescent="0.3">
      <c r="A1380">
        <v>1379</v>
      </c>
      <c r="B1380" s="7">
        <v>2149440.4699856774</v>
      </c>
      <c r="C1380">
        <f t="shared" si="21"/>
        <v>1</v>
      </c>
    </row>
    <row r="1381" spans="1:3" x14ac:dyDescent="0.3">
      <c r="A1381">
        <v>1380</v>
      </c>
      <c r="B1381" s="7">
        <v>1337341.7670337083</v>
      </c>
      <c r="C1381">
        <f t="shared" si="21"/>
        <v>1</v>
      </c>
    </row>
    <row r="1382" spans="1:3" x14ac:dyDescent="0.3">
      <c r="A1382">
        <v>1381</v>
      </c>
      <c r="B1382" s="7">
        <v>4906663.2799941003</v>
      </c>
      <c r="C1382">
        <f t="shared" si="21"/>
        <v>1</v>
      </c>
    </row>
    <row r="1383" spans="1:3" x14ac:dyDescent="0.3">
      <c r="A1383">
        <v>1382</v>
      </c>
      <c r="B1383" s="7">
        <v>7396341.7606140617</v>
      </c>
      <c r="C1383">
        <f t="shared" si="21"/>
        <v>1</v>
      </c>
    </row>
    <row r="1384" spans="1:3" x14ac:dyDescent="0.3">
      <c r="A1384">
        <v>1383</v>
      </c>
      <c r="B1384" s="7">
        <v>5102329.4785654461</v>
      </c>
      <c r="C1384">
        <f t="shared" si="21"/>
        <v>1</v>
      </c>
    </row>
    <row r="1385" spans="1:3" x14ac:dyDescent="0.3">
      <c r="A1385">
        <v>1384</v>
      </c>
      <c r="B1385" s="7">
        <v>5924256.6707737604</v>
      </c>
      <c r="C1385">
        <f t="shared" si="21"/>
        <v>1</v>
      </c>
    </row>
    <row r="1386" spans="1:3" x14ac:dyDescent="0.3">
      <c r="A1386">
        <v>1385</v>
      </c>
      <c r="B1386" s="7">
        <v>9650885.0973607488</v>
      </c>
      <c r="C1386">
        <f t="shared" si="21"/>
        <v>1</v>
      </c>
    </row>
    <row r="1387" spans="1:3" x14ac:dyDescent="0.3">
      <c r="A1387">
        <v>1386</v>
      </c>
      <c r="B1387" s="7">
        <v>4655562.4542669477</v>
      </c>
      <c r="C1387">
        <f t="shared" si="21"/>
        <v>1</v>
      </c>
    </row>
    <row r="1388" spans="1:3" x14ac:dyDescent="0.3">
      <c r="A1388">
        <v>1387</v>
      </c>
      <c r="B1388" s="7">
        <v>4007799.4625171819</v>
      </c>
      <c r="C1388">
        <f t="shared" si="21"/>
        <v>1</v>
      </c>
    </row>
    <row r="1389" spans="1:3" x14ac:dyDescent="0.3">
      <c r="A1389">
        <v>1388</v>
      </c>
      <c r="B1389" s="7">
        <v>484899.11845963099</v>
      </c>
      <c r="C1389">
        <f t="shared" si="21"/>
        <v>1</v>
      </c>
    </row>
    <row r="1390" spans="1:3" x14ac:dyDescent="0.3">
      <c r="A1390">
        <v>1389</v>
      </c>
      <c r="B1390" s="7">
        <v>3371117.049967085</v>
      </c>
      <c r="C1390">
        <f t="shared" si="21"/>
        <v>1</v>
      </c>
    </row>
    <row r="1391" spans="1:3" x14ac:dyDescent="0.3">
      <c r="A1391">
        <v>1390</v>
      </c>
      <c r="B1391" s="7">
        <v>1557349.9328480125</v>
      </c>
      <c r="C1391">
        <f t="shared" si="21"/>
        <v>1</v>
      </c>
    </row>
    <row r="1392" spans="1:3" x14ac:dyDescent="0.3">
      <c r="A1392">
        <v>1391</v>
      </c>
      <c r="B1392" s="7">
        <v>5493684.6521136919</v>
      </c>
      <c r="C1392">
        <f t="shared" si="21"/>
        <v>1</v>
      </c>
    </row>
    <row r="1393" spans="1:3" x14ac:dyDescent="0.3">
      <c r="A1393">
        <v>1392</v>
      </c>
      <c r="B1393" s="7">
        <v>7965183.435611791</v>
      </c>
      <c r="C1393">
        <f t="shared" si="21"/>
        <v>1</v>
      </c>
    </row>
    <row r="1394" spans="1:3" x14ac:dyDescent="0.3">
      <c r="A1394">
        <v>1393</v>
      </c>
      <c r="B1394" s="7">
        <v>1683132.4279561716</v>
      </c>
      <c r="C1394">
        <f t="shared" si="21"/>
        <v>1</v>
      </c>
    </row>
    <row r="1395" spans="1:3" x14ac:dyDescent="0.3">
      <c r="A1395">
        <v>1394</v>
      </c>
      <c r="B1395" s="7">
        <v>5296462.0041560754</v>
      </c>
      <c r="C1395">
        <f t="shared" si="21"/>
        <v>1</v>
      </c>
    </row>
    <row r="1396" spans="1:3" x14ac:dyDescent="0.3">
      <c r="A1396">
        <v>1395</v>
      </c>
      <c r="B1396" s="7">
        <v>5762190.2228113934</v>
      </c>
      <c r="C1396">
        <f t="shared" si="21"/>
        <v>1</v>
      </c>
    </row>
    <row r="1397" spans="1:3" x14ac:dyDescent="0.3">
      <c r="A1397">
        <v>1396</v>
      </c>
      <c r="B1397" s="7">
        <v>3979172.7094725696</v>
      </c>
      <c r="C1397">
        <f t="shared" si="21"/>
        <v>1</v>
      </c>
    </row>
    <row r="1398" spans="1:3" x14ac:dyDescent="0.3">
      <c r="A1398">
        <v>1397</v>
      </c>
      <c r="B1398" s="7">
        <v>1704994.7683585072</v>
      </c>
      <c r="C1398">
        <f t="shared" si="21"/>
        <v>1</v>
      </c>
    </row>
    <row r="1399" spans="1:3" x14ac:dyDescent="0.3">
      <c r="A1399">
        <v>1398</v>
      </c>
      <c r="B1399" s="7">
        <v>2046827.3650880291</v>
      </c>
      <c r="C1399">
        <f t="shared" si="21"/>
        <v>1</v>
      </c>
    </row>
    <row r="1400" spans="1:3" x14ac:dyDescent="0.3">
      <c r="A1400">
        <v>1399</v>
      </c>
      <c r="B1400" s="7">
        <v>6663978.1452597342</v>
      </c>
      <c r="C1400">
        <f t="shared" si="21"/>
        <v>1</v>
      </c>
    </row>
    <row r="1401" spans="1:3" x14ac:dyDescent="0.3">
      <c r="A1401">
        <v>1400</v>
      </c>
      <c r="B1401" s="7">
        <v>1306549.30840177</v>
      </c>
      <c r="C1401">
        <f t="shared" si="21"/>
        <v>1</v>
      </c>
    </row>
    <row r="1402" spans="1:3" x14ac:dyDescent="0.3">
      <c r="A1402">
        <v>1401</v>
      </c>
      <c r="B1402" s="7">
        <v>2566647.8519846676</v>
      </c>
      <c r="C1402">
        <f t="shared" si="21"/>
        <v>1</v>
      </c>
    </row>
    <row r="1403" spans="1:3" x14ac:dyDescent="0.3">
      <c r="A1403">
        <v>1402</v>
      </c>
      <c r="B1403" s="7">
        <v>1485323.579204804</v>
      </c>
      <c r="C1403">
        <f t="shared" si="21"/>
        <v>1</v>
      </c>
    </row>
    <row r="1404" spans="1:3" x14ac:dyDescent="0.3">
      <c r="A1404">
        <v>1403</v>
      </c>
      <c r="B1404" s="7">
        <v>6401442.0755217597</v>
      </c>
      <c r="C1404">
        <f t="shared" si="21"/>
        <v>1</v>
      </c>
    </row>
    <row r="1405" spans="1:3" x14ac:dyDescent="0.3">
      <c r="A1405">
        <v>1404</v>
      </c>
      <c r="B1405" s="7">
        <v>41277012.3162411</v>
      </c>
      <c r="C1405">
        <f t="shared" si="21"/>
        <v>1</v>
      </c>
    </row>
    <row r="1406" spans="1:3" x14ac:dyDescent="0.3">
      <c r="A1406">
        <v>1405</v>
      </c>
      <c r="B1406" s="7">
        <v>2051343.8784989626</v>
      </c>
      <c r="C1406">
        <f t="shared" si="21"/>
        <v>1</v>
      </c>
    </row>
    <row r="1407" spans="1:3" x14ac:dyDescent="0.3">
      <c r="A1407">
        <v>1406</v>
      </c>
      <c r="B1407" s="7">
        <v>25962.054318805709</v>
      </c>
      <c r="C1407">
        <f t="shared" si="21"/>
        <v>1</v>
      </c>
    </row>
    <row r="1408" spans="1:3" x14ac:dyDescent="0.3">
      <c r="A1408">
        <v>1407</v>
      </c>
      <c r="B1408" s="7">
        <v>15451935.395958746</v>
      </c>
      <c r="C1408">
        <f t="shared" si="21"/>
        <v>1</v>
      </c>
    </row>
    <row r="1409" spans="1:3" x14ac:dyDescent="0.3">
      <c r="A1409">
        <v>1408</v>
      </c>
      <c r="B1409" s="7">
        <v>4010531.1832159758</v>
      </c>
      <c r="C1409">
        <f t="shared" si="21"/>
        <v>1</v>
      </c>
    </row>
    <row r="1410" spans="1:3" x14ac:dyDescent="0.3">
      <c r="A1410">
        <v>1409</v>
      </c>
      <c r="B1410" s="7">
        <v>611417.34226240474</v>
      </c>
      <c r="C1410">
        <f t="shared" si="21"/>
        <v>1</v>
      </c>
    </row>
    <row r="1411" spans="1:3" x14ac:dyDescent="0.3">
      <c r="A1411">
        <v>1410</v>
      </c>
      <c r="B1411" s="7">
        <v>434628.73713735526</v>
      </c>
      <c r="C1411">
        <f t="shared" ref="C1411:C1474" si="22">IF(B1411=0,0,1)</f>
        <v>1</v>
      </c>
    </row>
    <row r="1412" spans="1:3" x14ac:dyDescent="0.3">
      <c r="A1412">
        <v>1411</v>
      </c>
      <c r="B1412" s="7">
        <v>5443267.6612545885</v>
      </c>
      <c r="C1412">
        <f t="shared" si="22"/>
        <v>1</v>
      </c>
    </row>
    <row r="1413" spans="1:3" x14ac:dyDescent="0.3">
      <c r="A1413">
        <v>1412</v>
      </c>
      <c r="B1413" s="7">
        <v>4971235.7735055881</v>
      </c>
      <c r="C1413">
        <f t="shared" si="22"/>
        <v>1</v>
      </c>
    </row>
    <row r="1414" spans="1:3" x14ac:dyDescent="0.3">
      <c r="A1414">
        <v>1413</v>
      </c>
      <c r="B1414" s="7">
        <v>6590353.5553588169</v>
      </c>
      <c r="C1414">
        <f t="shared" si="22"/>
        <v>1</v>
      </c>
    </row>
    <row r="1415" spans="1:3" x14ac:dyDescent="0.3">
      <c r="A1415">
        <v>1414</v>
      </c>
      <c r="B1415" s="7">
        <v>8860201.9696506988</v>
      </c>
      <c r="C1415">
        <f t="shared" si="22"/>
        <v>1</v>
      </c>
    </row>
    <row r="1416" spans="1:3" x14ac:dyDescent="0.3">
      <c r="A1416">
        <v>1415</v>
      </c>
      <c r="B1416" s="7">
        <v>4191253.187988976</v>
      </c>
      <c r="C1416">
        <f t="shared" si="22"/>
        <v>1</v>
      </c>
    </row>
    <row r="1417" spans="1:3" x14ac:dyDescent="0.3">
      <c r="A1417">
        <v>1416</v>
      </c>
      <c r="B1417" s="7">
        <v>16820079.721595921</v>
      </c>
      <c r="C1417">
        <f t="shared" si="22"/>
        <v>1</v>
      </c>
    </row>
    <row r="1418" spans="1:3" x14ac:dyDescent="0.3">
      <c r="A1418">
        <v>1417</v>
      </c>
      <c r="B1418" s="7">
        <v>3650023.099846283</v>
      </c>
      <c r="C1418">
        <f t="shared" si="22"/>
        <v>1</v>
      </c>
    </row>
    <row r="1419" spans="1:3" x14ac:dyDescent="0.3">
      <c r="A1419">
        <v>1418</v>
      </c>
      <c r="B1419" s="7">
        <v>0</v>
      </c>
      <c r="C1419">
        <f t="shared" si="22"/>
        <v>0</v>
      </c>
    </row>
    <row r="1420" spans="1:3" x14ac:dyDescent="0.3">
      <c r="A1420">
        <v>1419</v>
      </c>
      <c r="B1420" s="7">
        <v>6947796.3265221752</v>
      </c>
      <c r="C1420">
        <f t="shared" si="22"/>
        <v>1</v>
      </c>
    </row>
    <row r="1421" spans="1:3" x14ac:dyDescent="0.3">
      <c r="A1421">
        <v>1420</v>
      </c>
      <c r="B1421" s="7">
        <v>4971833.1665124074</v>
      </c>
      <c r="C1421">
        <f t="shared" si="22"/>
        <v>1</v>
      </c>
    </row>
    <row r="1422" spans="1:3" x14ac:dyDescent="0.3">
      <c r="A1422">
        <v>1421</v>
      </c>
      <c r="B1422" s="7">
        <v>17260735.129137356</v>
      </c>
      <c r="C1422">
        <f t="shared" si="22"/>
        <v>1</v>
      </c>
    </row>
    <row r="1423" spans="1:3" x14ac:dyDescent="0.3">
      <c r="A1423">
        <v>1422</v>
      </c>
      <c r="B1423" s="7">
        <v>2657903.9352845652</v>
      </c>
      <c r="C1423">
        <f t="shared" si="22"/>
        <v>1</v>
      </c>
    </row>
    <row r="1424" spans="1:3" x14ac:dyDescent="0.3">
      <c r="A1424">
        <v>1423</v>
      </c>
      <c r="B1424" s="7">
        <v>3826034.6427690359</v>
      </c>
      <c r="C1424">
        <f t="shared" si="22"/>
        <v>1</v>
      </c>
    </row>
    <row r="1425" spans="1:3" x14ac:dyDescent="0.3">
      <c r="A1425">
        <v>1424</v>
      </c>
      <c r="B1425" s="7">
        <v>690163.00193656795</v>
      </c>
      <c r="C1425">
        <f t="shared" si="22"/>
        <v>1</v>
      </c>
    </row>
    <row r="1426" spans="1:3" x14ac:dyDescent="0.3">
      <c r="A1426">
        <v>1425</v>
      </c>
      <c r="B1426" s="7">
        <v>1356881.1460127179</v>
      </c>
      <c r="C1426">
        <f t="shared" si="22"/>
        <v>1</v>
      </c>
    </row>
    <row r="1427" spans="1:3" x14ac:dyDescent="0.3">
      <c r="A1427">
        <v>1426</v>
      </c>
      <c r="B1427" s="7">
        <v>11394258.279760705</v>
      </c>
      <c r="C1427">
        <f t="shared" si="22"/>
        <v>1</v>
      </c>
    </row>
    <row r="1428" spans="1:3" x14ac:dyDescent="0.3">
      <c r="A1428">
        <v>1427</v>
      </c>
      <c r="B1428" s="7">
        <v>1350666.5006352779</v>
      </c>
      <c r="C1428">
        <f t="shared" si="22"/>
        <v>1</v>
      </c>
    </row>
    <row r="1429" spans="1:3" x14ac:dyDescent="0.3">
      <c r="A1429">
        <v>1428</v>
      </c>
      <c r="B1429" s="7">
        <v>14834858.17807943</v>
      </c>
      <c r="C1429">
        <f t="shared" si="22"/>
        <v>1</v>
      </c>
    </row>
    <row r="1430" spans="1:3" x14ac:dyDescent="0.3">
      <c r="A1430">
        <v>1429</v>
      </c>
      <c r="B1430" s="7">
        <v>1641900.3175626281</v>
      </c>
      <c r="C1430">
        <f t="shared" si="22"/>
        <v>1</v>
      </c>
    </row>
    <row r="1431" spans="1:3" x14ac:dyDescent="0.3">
      <c r="A1431">
        <v>1430</v>
      </c>
      <c r="B1431" s="7">
        <v>3710909.4640838415</v>
      </c>
      <c r="C1431">
        <f t="shared" si="22"/>
        <v>1</v>
      </c>
    </row>
    <row r="1432" spans="1:3" x14ac:dyDescent="0.3">
      <c r="A1432">
        <v>1431</v>
      </c>
      <c r="B1432" s="7">
        <v>465235.07152305718</v>
      </c>
      <c r="C1432">
        <f t="shared" si="22"/>
        <v>1</v>
      </c>
    </row>
    <row r="1433" spans="1:3" x14ac:dyDescent="0.3">
      <c r="A1433">
        <v>1432</v>
      </c>
      <c r="B1433" s="7">
        <v>15021295.316911831</v>
      </c>
      <c r="C1433">
        <f t="shared" si="22"/>
        <v>1</v>
      </c>
    </row>
    <row r="1434" spans="1:3" x14ac:dyDescent="0.3">
      <c r="A1434">
        <v>1433</v>
      </c>
      <c r="B1434" s="7">
        <v>6694082.3729312979</v>
      </c>
      <c r="C1434">
        <f t="shared" si="22"/>
        <v>1</v>
      </c>
    </row>
    <row r="1435" spans="1:3" x14ac:dyDescent="0.3">
      <c r="A1435">
        <v>1434</v>
      </c>
      <c r="B1435" s="7">
        <v>3918017.5091581191</v>
      </c>
      <c r="C1435">
        <f t="shared" si="22"/>
        <v>1</v>
      </c>
    </row>
    <row r="1436" spans="1:3" x14ac:dyDescent="0.3">
      <c r="A1436">
        <v>1435</v>
      </c>
      <c r="B1436" s="7">
        <v>724634.21402162674</v>
      </c>
      <c r="C1436">
        <f t="shared" si="22"/>
        <v>1</v>
      </c>
    </row>
    <row r="1437" spans="1:3" x14ac:dyDescent="0.3">
      <c r="A1437">
        <v>1436</v>
      </c>
      <c r="B1437" s="7">
        <v>3060955.590242628</v>
      </c>
      <c r="C1437">
        <f t="shared" si="22"/>
        <v>1</v>
      </c>
    </row>
    <row r="1438" spans="1:3" x14ac:dyDescent="0.3">
      <c r="A1438">
        <v>1437</v>
      </c>
      <c r="B1438" s="7">
        <v>3401730.8340580119</v>
      </c>
      <c r="C1438">
        <f t="shared" si="22"/>
        <v>1</v>
      </c>
    </row>
    <row r="1439" spans="1:3" x14ac:dyDescent="0.3">
      <c r="A1439">
        <v>1438</v>
      </c>
      <c r="B1439" s="7">
        <v>2393930.1107630385</v>
      </c>
      <c r="C1439">
        <f t="shared" si="22"/>
        <v>1</v>
      </c>
    </row>
    <row r="1440" spans="1:3" x14ac:dyDescent="0.3">
      <c r="A1440">
        <v>1439</v>
      </c>
      <c r="B1440" s="7">
        <v>4140843.2092235018</v>
      </c>
      <c r="C1440">
        <f t="shared" si="22"/>
        <v>1</v>
      </c>
    </row>
    <row r="1441" spans="1:3" x14ac:dyDescent="0.3">
      <c r="A1441">
        <v>1440</v>
      </c>
      <c r="B1441" s="7">
        <v>7911151.4579203688</v>
      </c>
      <c r="C1441">
        <f t="shared" si="22"/>
        <v>1</v>
      </c>
    </row>
    <row r="1442" spans="1:3" x14ac:dyDescent="0.3">
      <c r="A1442">
        <v>1441</v>
      </c>
      <c r="B1442" s="7">
        <v>1529849.3817757412</v>
      </c>
      <c r="C1442">
        <f t="shared" si="22"/>
        <v>1</v>
      </c>
    </row>
    <row r="1443" spans="1:3" x14ac:dyDescent="0.3">
      <c r="A1443">
        <v>1442</v>
      </c>
      <c r="B1443" s="7">
        <v>2957116.4475940699</v>
      </c>
      <c r="C1443">
        <f t="shared" si="22"/>
        <v>1</v>
      </c>
    </row>
    <row r="1444" spans="1:3" x14ac:dyDescent="0.3">
      <c r="A1444">
        <v>1443</v>
      </c>
      <c r="B1444" s="7">
        <v>4506830.2467297697</v>
      </c>
      <c r="C1444">
        <f t="shared" si="22"/>
        <v>1</v>
      </c>
    </row>
    <row r="1445" spans="1:3" x14ac:dyDescent="0.3">
      <c r="A1445">
        <v>1444</v>
      </c>
      <c r="B1445" s="7">
        <v>6064866.8317588884</v>
      </c>
      <c r="C1445">
        <f t="shared" si="22"/>
        <v>1</v>
      </c>
    </row>
    <row r="1446" spans="1:3" x14ac:dyDescent="0.3">
      <c r="A1446">
        <v>1445</v>
      </c>
      <c r="B1446" s="7">
        <v>11933614.030528413</v>
      </c>
      <c r="C1446">
        <f t="shared" si="22"/>
        <v>1</v>
      </c>
    </row>
    <row r="1447" spans="1:3" x14ac:dyDescent="0.3">
      <c r="A1447">
        <v>1446</v>
      </c>
      <c r="B1447" s="7">
        <v>2106984.1407697159</v>
      </c>
      <c r="C1447">
        <f t="shared" si="22"/>
        <v>1</v>
      </c>
    </row>
    <row r="1448" spans="1:3" x14ac:dyDescent="0.3">
      <c r="A1448">
        <v>1447</v>
      </c>
      <c r="B1448" s="7">
        <v>5957907.6143061882</v>
      </c>
      <c r="C1448">
        <f t="shared" si="22"/>
        <v>1</v>
      </c>
    </row>
    <row r="1449" spans="1:3" x14ac:dyDescent="0.3">
      <c r="A1449">
        <v>1448</v>
      </c>
      <c r="B1449" s="7">
        <v>362114.05339574104</v>
      </c>
      <c r="C1449">
        <f t="shared" si="22"/>
        <v>1</v>
      </c>
    </row>
    <row r="1450" spans="1:3" x14ac:dyDescent="0.3">
      <c r="A1450">
        <v>1449</v>
      </c>
      <c r="B1450" s="7">
        <v>1949577.4490522828</v>
      </c>
      <c r="C1450">
        <f t="shared" si="22"/>
        <v>1</v>
      </c>
    </row>
    <row r="1451" spans="1:3" x14ac:dyDescent="0.3">
      <c r="A1451">
        <v>1450</v>
      </c>
      <c r="B1451" s="7">
        <v>4467615.8445530729</v>
      </c>
      <c r="C1451">
        <f t="shared" si="22"/>
        <v>1</v>
      </c>
    </row>
    <row r="1452" spans="1:3" x14ac:dyDescent="0.3">
      <c r="A1452">
        <v>1451</v>
      </c>
      <c r="B1452" s="7">
        <v>7793517.3480105828</v>
      </c>
      <c r="C1452">
        <f t="shared" si="22"/>
        <v>1</v>
      </c>
    </row>
    <row r="1453" spans="1:3" x14ac:dyDescent="0.3">
      <c r="A1453">
        <v>1452</v>
      </c>
      <c r="B1453" s="7">
        <v>85669.846426467557</v>
      </c>
      <c r="C1453">
        <f t="shared" si="22"/>
        <v>1</v>
      </c>
    </row>
    <row r="1454" spans="1:3" x14ac:dyDescent="0.3">
      <c r="A1454">
        <v>1453</v>
      </c>
      <c r="B1454" s="7">
        <v>1906530.6870100279</v>
      </c>
      <c r="C1454">
        <f t="shared" si="22"/>
        <v>1</v>
      </c>
    </row>
    <row r="1455" spans="1:3" x14ac:dyDescent="0.3">
      <c r="A1455">
        <v>1454</v>
      </c>
      <c r="B1455" s="7">
        <v>11003372.670213569</v>
      </c>
      <c r="C1455">
        <f t="shared" si="22"/>
        <v>1</v>
      </c>
    </row>
    <row r="1456" spans="1:3" x14ac:dyDescent="0.3">
      <c r="A1456">
        <v>1455</v>
      </c>
      <c r="B1456" s="7">
        <v>3517540.5593386162</v>
      </c>
      <c r="C1456">
        <f t="shared" si="22"/>
        <v>1</v>
      </c>
    </row>
    <row r="1457" spans="1:3" x14ac:dyDescent="0.3">
      <c r="A1457">
        <v>1456</v>
      </c>
      <c r="B1457" s="7">
        <v>10814047.258788494</v>
      </c>
      <c r="C1457">
        <f t="shared" si="22"/>
        <v>1</v>
      </c>
    </row>
    <row r="1458" spans="1:3" x14ac:dyDescent="0.3">
      <c r="A1458">
        <v>1457</v>
      </c>
      <c r="B1458" s="7">
        <v>2954561.9603555254</v>
      </c>
      <c r="C1458">
        <f t="shared" si="22"/>
        <v>1</v>
      </c>
    </row>
    <row r="1459" spans="1:3" x14ac:dyDescent="0.3">
      <c r="A1459">
        <v>1458</v>
      </c>
      <c r="B1459" s="7">
        <v>10053471.427650649</v>
      </c>
      <c r="C1459">
        <f t="shared" si="22"/>
        <v>1</v>
      </c>
    </row>
    <row r="1460" spans="1:3" x14ac:dyDescent="0.3">
      <c r="A1460">
        <v>1459</v>
      </c>
      <c r="B1460" s="7">
        <v>11032746.932528391</v>
      </c>
      <c r="C1460">
        <f t="shared" si="22"/>
        <v>1</v>
      </c>
    </row>
    <row r="1461" spans="1:3" x14ac:dyDescent="0.3">
      <c r="A1461">
        <v>1460</v>
      </c>
      <c r="B1461" s="7">
        <v>5294674.2195414063</v>
      </c>
      <c r="C1461">
        <f t="shared" si="22"/>
        <v>1</v>
      </c>
    </row>
    <row r="1462" spans="1:3" x14ac:dyDescent="0.3">
      <c r="A1462">
        <v>1461</v>
      </c>
      <c r="B1462" s="7">
        <v>1094027.2499165318</v>
      </c>
      <c r="C1462">
        <f t="shared" si="22"/>
        <v>1</v>
      </c>
    </row>
    <row r="1463" spans="1:3" x14ac:dyDescent="0.3">
      <c r="A1463">
        <v>1462</v>
      </c>
      <c r="B1463" s="7">
        <v>2957621.4089681502</v>
      </c>
      <c r="C1463">
        <f t="shared" si="22"/>
        <v>1</v>
      </c>
    </row>
    <row r="1464" spans="1:3" x14ac:dyDescent="0.3">
      <c r="A1464">
        <v>1463</v>
      </c>
      <c r="B1464" s="7">
        <v>7659482.9470293028</v>
      </c>
      <c r="C1464">
        <f t="shared" si="22"/>
        <v>1</v>
      </c>
    </row>
    <row r="1465" spans="1:3" x14ac:dyDescent="0.3">
      <c r="A1465">
        <v>1464</v>
      </c>
      <c r="B1465" s="7">
        <v>5888053.763985645</v>
      </c>
      <c r="C1465">
        <f t="shared" si="22"/>
        <v>1</v>
      </c>
    </row>
    <row r="1466" spans="1:3" x14ac:dyDescent="0.3">
      <c r="A1466">
        <v>1465</v>
      </c>
      <c r="B1466" s="7">
        <v>12253859.50140398</v>
      </c>
      <c r="C1466">
        <f t="shared" si="22"/>
        <v>1</v>
      </c>
    </row>
    <row r="1467" spans="1:3" x14ac:dyDescent="0.3">
      <c r="A1467">
        <v>1466</v>
      </c>
      <c r="B1467" s="7">
        <v>2884053.0884292522</v>
      </c>
      <c r="C1467">
        <f t="shared" si="22"/>
        <v>1</v>
      </c>
    </row>
    <row r="1468" spans="1:3" x14ac:dyDescent="0.3">
      <c r="A1468">
        <v>1467</v>
      </c>
      <c r="B1468" s="7">
        <v>6398251.5196480583</v>
      </c>
      <c r="C1468">
        <f t="shared" si="22"/>
        <v>1</v>
      </c>
    </row>
    <row r="1469" spans="1:3" x14ac:dyDescent="0.3">
      <c r="A1469">
        <v>1468</v>
      </c>
      <c r="B1469" s="7">
        <v>868005.83496144228</v>
      </c>
      <c r="C1469">
        <f t="shared" si="22"/>
        <v>1</v>
      </c>
    </row>
    <row r="1470" spans="1:3" x14ac:dyDescent="0.3">
      <c r="A1470">
        <v>1469</v>
      </c>
      <c r="B1470" s="7">
        <v>2046300.3683694582</v>
      </c>
      <c r="C1470">
        <f t="shared" si="22"/>
        <v>1</v>
      </c>
    </row>
    <row r="1471" spans="1:3" x14ac:dyDescent="0.3">
      <c r="A1471">
        <v>1470</v>
      </c>
      <c r="B1471" s="7">
        <v>6282794.9529302185</v>
      </c>
      <c r="C1471">
        <f t="shared" si="22"/>
        <v>1</v>
      </c>
    </row>
    <row r="1472" spans="1:3" x14ac:dyDescent="0.3">
      <c r="A1472">
        <v>1471</v>
      </c>
      <c r="B1472" s="7">
        <v>4642123.8017817969</v>
      </c>
      <c r="C1472">
        <f t="shared" si="22"/>
        <v>1</v>
      </c>
    </row>
    <row r="1473" spans="1:3" x14ac:dyDescent="0.3">
      <c r="A1473">
        <v>1472</v>
      </c>
      <c r="B1473" s="7">
        <v>2950964.5568401981</v>
      </c>
      <c r="C1473">
        <f t="shared" si="22"/>
        <v>1</v>
      </c>
    </row>
    <row r="1474" spans="1:3" x14ac:dyDescent="0.3">
      <c r="A1474">
        <v>1473</v>
      </c>
      <c r="B1474" s="7">
        <v>1278457.7280628365</v>
      </c>
      <c r="C1474">
        <f t="shared" si="22"/>
        <v>1</v>
      </c>
    </row>
    <row r="1475" spans="1:3" x14ac:dyDescent="0.3">
      <c r="A1475">
        <v>1474</v>
      </c>
      <c r="B1475" s="7">
        <v>2103825.0201839954</v>
      </c>
      <c r="C1475">
        <f t="shared" ref="C1475:C1538" si="23">IF(B1475=0,0,1)</f>
        <v>1</v>
      </c>
    </row>
    <row r="1476" spans="1:3" x14ac:dyDescent="0.3">
      <c r="A1476">
        <v>1475</v>
      </c>
      <c r="B1476" s="7">
        <v>5446691.0873195454</v>
      </c>
      <c r="C1476">
        <f t="shared" si="23"/>
        <v>1</v>
      </c>
    </row>
    <row r="1477" spans="1:3" x14ac:dyDescent="0.3">
      <c r="A1477">
        <v>1476</v>
      </c>
      <c r="B1477" s="7">
        <v>1629829.6812747992</v>
      </c>
      <c r="C1477">
        <f t="shared" si="23"/>
        <v>1</v>
      </c>
    </row>
    <row r="1478" spans="1:3" x14ac:dyDescent="0.3">
      <c r="A1478">
        <v>1477</v>
      </c>
      <c r="B1478" s="7">
        <v>12353475.901249301</v>
      </c>
      <c r="C1478">
        <f t="shared" si="23"/>
        <v>1</v>
      </c>
    </row>
    <row r="1479" spans="1:3" x14ac:dyDescent="0.3">
      <c r="A1479">
        <v>1478</v>
      </c>
      <c r="B1479" s="7">
        <v>1389076.6165540575</v>
      </c>
      <c r="C1479">
        <f t="shared" si="23"/>
        <v>1</v>
      </c>
    </row>
    <row r="1480" spans="1:3" x14ac:dyDescent="0.3">
      <c r="A1480">
        <v>1479</v>
      </c>
      <c r="B1480" s="7">
        <v>4607205.1034686388</v>
      </c>
      <c r="C1480">
        <f t="shared" si="23"/>
        <v>1</v>
      </c>
    </row>
    <row r="1481" spans="1:3" x14ac:dyDescent="0.3">
      <c r="A1481">
        <v>1480</v>
      </c>
      <c r="B1481" s="7">
        <v>8342707.8495012699</v>
      </c>
      <c r="C1481">
        <f t="shared" si="23"/>
        <v>1</v>
      </c>
    </row>
    <row r="1482" spans="1:3" x14ac:dyDescent="0.3">
      <c r="A1482">
        <v>1481</v>
      </c>
      <c r="B1482" s="7">
        <v>2685611.4848049153</v>
      </c>
      <c r="C1482">
        <f t="shared" si="23"/>
        <v>1</v>
      </c>
    </row>
    <row r="1483" spans="1:3" x14ac:dyDescent="0.3">
      <c r="A1483">
        <v>1482</v>
      </c>
      <c r="B1483" s="7">
        <v>6295342.1970381886</v>
      </c>
      <c r="C1483">
        <f t="shared" si="23"/>
        <v>1</v>
      </c>
    </row>
    <row r="1484" spans="1:3" x14ac:dyDescent="0.3">
      <c r="A1484">
        <v>1483</v>
      </c>
      <c r="B1484" s="7">
        <v>16386448.987222696</v>
      </c>
      <c r="C1484">
        <f t="shared" si="23"/>
        <v>1</v>
      </c>
    </row>
    <row r="1485" spans="1:3" x14ac:dyDescent="0.3">
      <c r="A1485">
        <v>1484</v>
      </c>
      <c r="B1485" s="7">
        <v>3006765.7637794414</v>
      </c>
      <c r="C1485">
        <f t="shared" si="23"/>
        <v>1</v>
      </c>
    </row>
    <row r="1486" spans="1:3" x14ac:dyDescent="0.3">
      <c r="A1486">
        <v>1485</v>
      </c>
      <c r="B1486" s="7">
        <v>3654498.1532567749</v>
      </c>
      <c r="C1486">
        <f t="shared" si="23"/>
        <v>1</v>
      </c>
    </row>
    <row r="1487" spans="1:3" x14ac:dyDescent="0.3">
      <c r="A1487">
        <v>1486</v>
      </c>
      <c r="B1487" s="7">
        <v>3842812.8950900664</v>
      </c>
      <c r="C1487">
        <f t="shared" si="23"/>
        <v>1</v>
      </c>
    </row>
    <row r="1488" spans="1:3" x14ac:dyDescent="0.3">
      <c r="A1488">
        <v>1487</v>
      </c>
      <c r="B1488" s="7">
        <v>1202366.1512902712</v>
      </c>
      <c r="C1488">
        <f t="shared" si="23"/>
        <v>1</v>
      </c>
    </row>
    <row r="1489" spans="1:3" x14ac:dyDescent="0.3">
      <c r="A1489">
        <v>1488</v>
      </c>
      <c r="B1489" s="7">
        <v>0</v>
      </c>
      <c r="C1489">
        <f t="shared" si="23"/>
        <v>0</v>
      </c>
    </row>
    <row r="1490" spans="1:3" x14ac:dyDescent="0.3">
      <c r="A1490">
        <v>1489</v>
      </c>
      <c r="B1490" s="7">
        <v>1999382.7591103385</v>
      </c>
      <c r="C1490">
        <f t="shared" si="23"/>
        <v>1</v>
      </c>
    </row>
    <row r="1491" spans="1:3" x14ac:dyDescent="0.3">
      <c r="A1491">
        <v>1490</v>
      </c>
      <c r="B1491" s="7">
        <v>0</v>
      </c>
      <c r="C1491">
        <f t="shared" si="23"/>
        <v>0</v>
      </c>
    </row>
    <row r="1492" spans="1:3" x14ac:dyDescent="0.3">
      <c r="A1492">
        <v>1491</v>
      </c>
      <c r="B1492" s="7">
        <v>3470085.8987944517</v>
      </c>
      <c r="C1492">
        <f t="shared" si="23"/>
        <v>1</v>
      </c>
    </row>
    <row r="1493" spans="1:3" x14ac:dyDescent="0.3">
      <c r="A1493">
        <v>1492</v>
      </c>
      <c r="B1493" s="7">
        <v>691308.40669863834</v>
      </c>
      <c r="C1493">
        <f t="shared" si="23"/>
        <v>1</v>
      </c>
    </row>
    <row r="1494" spans="1:3" x14ac:dyDescent="0.3">
      <c r="A1494">
        <v>1493</v>
      </c>
      <c r="B1494" s="7">
        <v>8795784.4598833639</v>
      </c>
      <c r="C1494">
        <f t="shared" si="23"/>
        <v>1</v>
      </c>
    </row>
    <row r="1495" spans="1:3" x14ac:dyDescent="0.3">
      <c r="A1495">
        <v>1494</v>
      </c>
      <c r="B1495" s="7">
        <v>15930169.682104997</v>
      </c>
      <c r="C1495">
        <f t="shared" si="23"/>
        <v>1</v>
      </c>
    </row>
    <row r="1496" spans="1:3" x14ac:dyDescent="0.3">
      <c r="A1496">
        <v>1495</v>
      </c>
      <c r="B1496" s="7">
        <v>9289895.1688804403</v>
      </c>
      <c r="C1496">
        <f t="shared" si="23"/>
        <v>1</v>
      </c>
    </row>
    <row r="1497" spans="1:3" x14ac:dyDescent="0.3">
      <c r="A1497">
        <v>1496</v>
      </c>
      <c r="B1497" s="7">
        <v>3921535.0843630228</v>
      </c>
      <c r="C1497">
        <f t="shared" si="23"/>
        <v>1</v>
      </c>
    </row>
    <row r="1498" spans="1:3" x14ac:dyDescent="0.3">
      <c r="A1498">
        <v>1497</v>
      </c>
      <c r="B1498" s="7">
        <v>7250822.584124512</v>
      </c>
      <c r="C1498">
        <f t="shared" si="23"/>
        <v>1</v>
      </c>
    </row>
    <row r="1499" spans="1:3" x14ac:dyDescent="0.3">
      <c r="A1499">
        <v>1498</v>
      </c>
      <c r="B1499" s="7">
        <v>1075121.4286343039</v>
      </c>
      <c r="C1499">
        <f t="shared" si="23"/>
        <v>1</v>
      </c>
    </row>
    <row r="1500" spans="1:3" x14ac:dyDescent="0.3">
      <c r="A1500">
        <v>1499</v>
      </c>
      <c r="B1500" s="7">
        <v>1728522.2713282579</v>
      </c>
      <c r="C1500">
        <f t="shared" si="23"/>
        <v>1</v>
      </c>
    </row>
    <row r="1501" spans="1:3" x14ac:dyDescent="0.3">
      <c r="A1501">
        <v>1500</v>
      </c>
      <c r="B1501" s="7">
        <v>490638.39300202148</v>
      </c>
      <c r="C1501">
        <f t="shared" si="23"/>
        <v>1</v>
      </c>
    </row>
    <row r="1502" spans="1:3" x14ac:dyDescent="0.3">
      <c r="A1502">
        <v>1501</v>
      </c>
      <c r="B1502" s="7">
        <v>14328170.907725198</v>
      </c>
      <c r="C1502">
        <f t="shared" si="23"/>
        <v>1</v>
      </c>
    </row>
    <row r="1503" spans="1:3" x14ac:dyDescent="0.3">
      <c r="A1503">
        <v>1502</v>
      </c>
      <c r="B1503" s="7">
        <v>6344172.0208463194</v>
      </c>
      <c r="C1503">
        <f t="shared" si="23"/>
        <v>1</v>
      </c>
    </row>
    <row r="1504" spans="1:3" x14ac:dyDescent="0.3">
      <c r="A1504">
        <v>1503</v>
      </c>
      <c r="B1504" s="7">
        <v>3476840.4753477182</v>
      </c>
      <c r="C1504">
        <f t="shared" si="23"/>
        <v>1</v>
      </c>
    </row>
    <row r="1505" spans="1:3" x14ac:dyDescent="0.3">
      <c r="A1505">
        <v>1504</v>
      </c>
      <c r="B1505" s="7">
        <v>7737201.7809166908</v>
      </c>
      <c r="C1505">
        <f t="shared" si="23"/>
        <v>1</v>
      </c>
    </row>
    <row r="1506" spans="1:3" x14ac:dyDescent="0.3">
      <c r="A1506">
        <v>1505</v>
      </c>
      <c r="B1506" s="7">
        <v>6117396.2109753424</v>
      </c>
      <c r="C1506">
        <f t="shared" si="23"/>
        <v>1</v>
      </c>
    </row>
    <row r="1507" spans="1:3" x14ac:dyDescent="0.3">
      <c r="A1507">
        <v>1506</v>
      </c>
      <c r="B1507" s="7">
        <v>7285697.5001530619</v>
      </c>
      <c r="C1507">
        <f t="shared" si="23"/>
        <v>1</v>
      </c>
    </row>
    <row r="1508" spans="1:3" x14ac:dyDescent="0.3">
      <c r="A1508">
        <v>1507</v>
      </c>
      <c r="B1508" s="7">
        <v>7497375.7569410028</v>
      </c>
      <c r="C1508">
        <f t="shared" si="23"/>
        <v>1</v>
      </c>
    </row>
    <row r="1509" spans="1:3" x14ac:dyDescent="0.3">
      <c r="A1509">
        <v>1508</v>
      </c>
      <c r="B1509" s="7">
        <v>12963564.304240577</v>
      </c>
      <c r="C1509">
        <f t="shared" si="23"/>
        <v>1</v>
      </c>
    </row>
    <row r="1510" spans="1:3" x14ac:dyDescent="0.3">
      <c r="A1510">
        <v>1509</v>
      </c>
      <c r="B1510" s="7">
        <v>422010.14642089023</v>
      </c>
      <c r="C1510">
        <f t="shared" si="23"/>
        <v>1</v>
      </c>
    </row>
    <row r="1511" spans="1:3" x14ac:dyDescent="0.3">
      <c r="A1511">
        <v>1510</v>
      </c>
      <c r="B1511" s="7">
        <v>8114004.9183318987</v>
      </c>
      <c r="C1511">
        <f t="shared" si="23"/>
        <v>1</v>
      </c>
    </row>
    <row r="1512" spans="1:3" x14ac:dyDescent="0.3">
      <c r="A1512">
        <v>1511</v>
      </c>
      <c r="B1512" s="7">
        <v>942710.51756196166</v>
      </c>
      <c r="C1512">
        <f t="shared" si="23"/>
        <v>1</v>
      </c>
    </row>
    <row r="1513" spans="1:3" x14ac:dyDescent="0.3">
      <c r="A1513">
        <v>1512</v>
      </c>
      <c r="B1513" s="7">
        <v>7510885.4224170977</v>
      </c>
      <c r="C1513">
        <f t="shared" si="23"/>
        <v>1</v>
      </c>
    </row>
    <row r="1514" spans="1:3" x14ac:dyDescent="0.3">
      <c r="A1514">
        <v>1513</v>
      </c>
      <c r="B1514" s="7">
        <v>3228893.3790925015</v>
      </c>
      <c r="C1514">
        <f t="shared" si="23"/>
        <v>1</v>
      </c>
    </row>
    <row r="1515" spans="1:3" x14ac:dyDescent="0.3">
      <c r="A1515">
        <v>1514</v>
      </c>
      <c r="B1515" s="7">
        <v>6909513.4587604748</v>
      </c>
      <c r="C1515">
        <f t="shared" si="23"/>
        <v>1</v>
      </c>
    </row>
    <row r="1516" spans="1:3" x14ac:dyDescent="0.3">
      <c r="A1516">
        <v>1515</v>
      </c>
      <c r="B1516" s="7">
        <v>3417449.8777643</v>
      </c>
      <c r="C1516">
        <f t="shared" si="23"/>
        <v>1</v>
      </c>
    </row>
    <row r="1517" spans="1:3" x14ac:dyDescent="0.3">
      <c r="A1517">
        <v>1516</v>
      </c>
      <c r="B1517" s="7">
        <v>804090.49335575104</v>
      </c>
      <c r="C1517">
        <f t="shared" si="23"/>
        <v>1</v>
      </c>
    </row>
    <row r="1518" spans="1:3" x14ac:dyDescent="0.3">
      <c r="A1518">
        <v>1517</v>
      </c>
      <c r="B1518" s="7">
        <v>1850137.3410908505</v>
      </c>
      <c r="C1518">
        <f t="shared" si="23"/>
        <v>1</v>
      </c>
    </row>
    <row r="1519" spans="1:3" x14ac:dyDescent="0.3">
      <c r="A1519">
        <v>1518</v>
      </c>
      <c r="B1519" s="7">
        <v>2897223.7846175265</v>
      </c>
      <c r="C1519">
        <f t="shared" si="23"/>
        <v>1</v>
      </c>
    </row>
    <row r="1520" spans="1:3" x14ac:dyDescent="0.3">
      <c r="A1520">
        <v>1519</v>
      </c>
      <c r="B1520" s="7">
        <v>6161612.8869079435</v>
      </c>
      <c r="C1520">
        <f t="shared" si="23"/>
        <v>1</v>
      </c>
    </row>
    <row r="1521" spans="1:3" x14ac:dyDescent="0.3">
      <c r="A1521">
        <v>1520</v>
      </c>
      <c r="B1521" s="7">
        <v>3536214.1088861912</v>
      </c>
      <c r="C1521">
        <f t="shared" si="23"/>
        <v>1</v>
      </c>
    </row>
    <row r="1522" spans="1:3" x14ac:dyDescent="0.3">
      <c r="A1522">
        <v>1521</v>
      </c>
      <c r="B1522" s="7">
        <v>5931872.8841614705</v>
      </c>
      <c r="C1522">
        <f t="shared" si="23"/>
        <v>1</v>
      </c>
    </row>
    <row r="1523" spans="1:3" x14ac:dyDescent="0.3">
      <c r="A1523">
        <v>1522</v>
      </c>
      <c r="B1523" s="7">
        <v>2974071.2031429266</v>
      </c>
      <c r="C1523">
        <f t="shared" si="23"/>
        <v>1</v>
      </c>
    </row>
    <row r="1524" spans="1:3" x14ac:dyDescent="0.3">
      <c r="A1524">
        <v>1523</v>
      </c>
      <c r="B1524" s="7">
        <v>2889848.6902313242</v>
      </c>
      <c r="C1524">
        <f t="shared" si="23"/>
        <v>1</v>
      </c>
    </row>
    <row r="1525" spans="1:3" x14ac:dyDescent="0.3">
      <c r="A1525">
        <v>1524</v>
      </c>
      <c r="B1525" s="7">
        <v>5863654.8639288275</v>
      </c>
      <c r="C1525">
        <f t="shared" si="23"/>
        <v>1</v>
      </c>
    </row>
    <row r="1526" spans="1:3" x14ac:dyDescent="0.3">
      <c r="A1526">
        <v>1525</v>
      </c>
      <c r="B1526" s="7">
        <v>4450333.094583883</v>
      </c>
      <c r="C1526">
        <f t="shared" si="23"/>
        <v>1</v>
      </c>
    </row>
    <row r="1527" spans="1:3" x14ac:dyDescent="0.3">
      <c r="A1527">
        <v>1526</v>
      </c>
      <c r="B1527" s="7">
        <v>7759945.9152961578</v>
      </c>
      <c r="C1527">
        <f t="shared" si="23"/>
        <v>1</v>
      </c>
    </row>
    <row r="1528" spans="1:3" x14ac:dyDescent="0.3">
      <c r="A1528">
        <v>1527</v>
      </c>
      <c r="B1528" s="7">
        <v>17725410.39372218</v>
      </c>
      <c r="C1528">
        <f t="shared" si="23"/>
        <v>1</v>
      </c>
    </row>
    <row r="1529" spans="1:3" x14ac:dyDescent="0.3">
      <c r="A1529">
        <v>1528</v>
      </c>
      <c r="B1529" s="7">
        <v>836389.33494980657</v>
      </c>
      <c r="C1529">
        <f t="shared" si="23"/>
        <v>1</v>
      </c>
    </row>
    <row r="1530" spans="1:3" x14ac:dyDescent="0.3">
      <c r="A1530">
        <v>1529</v>
      </c>
      <c r="B1530" s="7">
        <v>11184971.159945801</v>
      </c>
      <c r="C1530">
        <f t="shared" si="23"/>
        <v>1</v>
      </c>
    </row>
    <row r="1531" spans="1:3" x14ac:dyDescent="0.3">
      <c r="A1531">
        <v>1530</v>
      </c>
      <c r="B1531" s="7">
        <v>4230668.3360862294</v>
      </c>
      <c r="C1531">
        <f t="shared" si="23"/>
        <v>1</v>
      </c>
    </row>
    <row r="1532" spans="1:3" x14ac:dyDescent="0.3">
      <c r="A1532">
        <v>1531</v>
      </c>
      <c r="B1532" s="7">
        <v>6781421.0738522615</v>
      </c>
      <c r="C1532">
        <f t="shared" si="23"/>
        <v>1</v>
      </c>
    </row>
    <row r="1533" spans="1:3" x14ac:dyDescent="0.3">
      <c r="A1533">
        <v>1532</v>
      </c>
      <c r="B1533" s="7">
        <v>5024115.3137414167</v>
      </c>
      <c r="C1533">
        <f t="shared" si="23"/>
        <v>1</v>
      </c>
    </row>
    <row r="1534" spans="1:3" x14ac:dyDescent="0.3">
      <c r="A1534">
        <v>1533</v>
      </c>
      <c r="B1534" s="7">
        <v>9644364.1110142302</v>
      </c>
      <c r="C1534">
        <f t="shared" si="23"/>
        <v>1</v>
      </c>
    </row>
    <row r="1535" spans="1:3" x14ac:dyDescent="0.3">
      <c r="A1535">
        <v>1534</v>
      </c>
      <c r="B1535" s="7">
        <v>21272920.946720693</v>
      </c>
      <c r="C1535">
        <f t="shared" si="23"/>
        <v>1</v>
      </c>
    </row>
    <row r="1536" spans="1:3" x14ac:dyDescent="0.3">
      <c r="A1536">
        <v>1535</v>
      </c>
      <c r="B1536" s="7">
        <v>7484985.9010164468</v>
      </c>
      <c r="C1536">
        <f t="shared" si="23"/>
        <v>1</v>
      </c>
    </row>
    <row r="1537" spans="1:3" x14ac:dyDescent="0.3">
      <c r="A1537">
        <v>1536</v>
      </c>
      <c r="B1537" s="7">
        <v>8209884.9517468698</v>
      </c>
      <c r="C1537">
        <f t="shared" si="23"/>
        <v>1</v>
      </c>
    </row>
    <row r="1538" spans="1:3" x14ac:dyDescent="0.3">
      <c r="A1538">
        <v>1537</v>
      </c>
      <c r="B1538" s="7">
        <v>1517021.1023862076</v>
      </c>
      <c r="C1538">
        <f t="shared" si="23"/>
        <v>1</v>
      </c>
    </row>
    <row r="1539" spans="1:3" x14ac:dyDescent="0.3">
      <c r="A1539">
        <v>1538</v>
      </c>
      <c r="B1539" s="7">
        <v>9301759.7745662667</v>
      </c>
      <c r="C1539">
        <f t="shared" ref="C1539:C1602" si="24">IF(B1539=0,0,1)</f>
        <v>1</v>
      </c>
    </row>
    <row r="1540" spans="1:3" x14ac:dyDescent="0.3">
      <c r="A1540">
        <v>1539</v>
      </c>
      <c r="B1540" s="7">
        <v>6222563.6920012608</v>
      </c>
      <c r="C1540">
        <f t="shared" si="24"/>
        <v>1</v>
      </c>
    </row>
    <row r="1541" spans="1:3" x14ac:dyDescent="0.3">
      <c r="A1541">
        <v>1540</v>
      </c>
      <c r="B1541" s="7">
        <v>4331079.0110029429</v>
      </c>
      <c r="C1541">
        <f t="shared" si="24"/>
        <v>1</v>
      </c>
    </row>
    <row r="1542" spans="1:3" x14ac:dyDescent="0.3">
      <c r="A1542">
        <v>1541</v>
      </c>
      <c r="B1542" s="7">
        <v>9003357.5043444354</v>
      </c>
      <c r="C1542">
        <f t="shared" si="24"/>
        <v>1</v>
      </c>
    </row>
    <row r="1543" spans="1:3" x14ac:dyDescent="0.3">
      <c r="A1543">
        <v>1542</v>
      </c>
      <c r="B1543" s="7">
        <v>13671755.84440265</v>
      </c>
      <c r="C1543">
        <f t="shared" si="24"/>
        <v>1</v>
      </c>
    </row>
    <row r="1544" spans="1:3" x14ac:dyDescent="0.3">
      <c r="A1544">
        <v>1543</v>
      </c>
      <c r="B1544" s="7">
        <v>1605867.1857233136</v>
      </c>
      <c r="C1544">
        <f t="shared" si="24"/>
        <v>1</v>
      </c>
    </row>
    <row r="1545" spans="1:3" x14ac:dyDescent="0.3">
      <c r="A1545">
        <v>1544</v>
      </c>
      <c r="B1545" s="7">
        <v>5090840.0576751456</v>
      </c>
      <c r="C1545">
        <f t="shared" si="24"/>
        <v>1</v>
      </c>
    </row>
    <row r="1546" spans="1:3" x14ac:dyDescent="0.3">
      <c r="A1546">
        <v>1545</v>
      </c>
      <c r="B1546" s="7">
        <v>1875214.029959392</v>
      </c>
      <c r="C1546">
        <f t="shared" si="24"/>
        <v>1</v>
      </c>
    </row>
    <row r="1547" spans="1:3" x14ac:dyDescent="0.3">
      <c r="A1547">
        <v>1546</v>
      </c>
      <c r="B1547" s="7">
        <v>6030542.4471736709</v>
      </c>
      <c r="C1547">
        <f t="shared" si="24"/>
        <v>1</v>
      </c>
    </row>
    <row r="1548" spans="1:3" x14ac:dyDescent="0.3">
      <c r="A1548">
        <v>1547</v>
      </c>
      <c r="B1548" s="7">
        <v>2197260.1878116801</v>
      </c>
      <c r="C1548">
        <f t="shared" si="24"/>
        <v>1</v>
      </c>
    </row>
    <row r="1549" spans="1:3" x14ac:dyDescent="0.3">
      <c r="A1549">
        <v>1548</v>
      </c>
      <c r="B1549" s="7">
        <v>579281.18943481881</v>
      </c>
      <c r="C1549">
        <f t="shared" si="24"/>
        <v>1</v>
      </c>
    </row>
    <row r="1550" spans="1:3" x14ac:dyDescent="0.3">
      <c r="A1550">
        <v>1549</v>
      </c>
      <c r="B1550" s="7">
        <v>3418659.8787474348</v>
      </c>
      <c r="C1550">
        <f t="shared" si="24"/>
        <v>1</v>
      </c>
    </row>
    <row r="1551" spans="1:3" x14ac:dyDescent="0.3">
      <c r="A1551">
        <v>1550</v>
      </c>
      <c r="B1551" s="7">
        <v>1040904.2692732803</v>
      </c>
      <c r="C1551">
        <f t="shared" si="24"/>
        <v>1</v>
      </c>
    </row>
    <row r="1552" spans="1:3" x14ac:dyDescent="0.3">
      <c r="A1552">
        <v>1551</v>
      </c>
      <c r="B1552" s="7">
        <v>15659309.311287047</v>
      </c>
      <c r="C1552">
        <f t="shared" si="24"/>
        <v>1</v>
      </c>
    </row>
    <row r="1553" spans="1:3" x14ac:dyDescent="0.3">
      <c r="A1553">
        <v>1552</v>
      </c>
      <c r="B1553" s="7">
        <v>4363078.1539087528</v>
      </c>
      <c r="C1553">
        <f t="shared" si="24"/>
        <v>1</v>
      </c>
    </row>
    <row r="1554" spans="1:3" x14ac:dyDescent="0.3">
      <c r="A1554">
        <v>1553</v>
      </c>
      <c r="B1554" s="7">
        <v>4848988.8685166035</v>
      </c>
      <c r="C1554">
        <f t="shared" si="24"/>
        <v>1</v>
      </c>
    </row>
    <row r="1555" spans="1:3" x14ac:dyDescent="0.3">
      <c r="A1555">
        <v>1554</v>
      </c>
      <c r="B1555" s="7">
        <v>5488734.5753702605</v>
      </c>
      <c r="C1555">
        <f t="shared" si="24"/>
        <v>1</v>
      </c>
    </row>
    <row r="1556" spans="1:3" x14ac:dyDescent="0.3">
      <c r="A1556">
        <v>1555</v>
      </c>
      <c r="B1556" s="7">
        <v>0</v>
      </c>
      <c r="C1556">
        <f t="shared" si="24"/>
        <v>0</v>
      </c>
    </row>
    <row r="1557" spans="1:3" x14ac:dyDescent="0.3">
      <c r="A1557">
        <v>1556</v>
      </c>
      <c r="B1557" s="7">
        <v>1464334.9932878064</v>
      </c>
      <c r="C1557">
        <f t="shared" si="24"/>
        <v>1</v>
      </c>
    </row>
    <row r="1558" spans="1:3" x14ac:dyDescent="0.3">
      <c r="A1558">
        <v>1557</v>
      </c>
      <c r="B1558" s="7">
        <v>0</v>
      </c>
      <c r="C1558">
        <f t="shared" si="24"/>
        <v>0</v>
      </c>
    </row>
    <row r="1559" spans="1:3" x14ac:dyDescent="0.3">
      <c r="A1559">
        <v>1558</v>
      </c>
      <c r="B1559" s="7">
        <v>5804257.7703836644</v>
      </c>
      <c r="C1559">
        <f t="shared" si="24"/>
        <v>1</v>
      </c>
    </row>
    <row r="1560" spans="1:3" x14ac:dyDescent="0.3">
      <c r="A1560">
        <v>1559</v>
      </c>
      <c r="B1560" s="7">
        <v>1964463.4328059731</v>
      </c>
      <c r="C1560">
        <f t="shared" si="24"/>
        <v>1</v>
      </c>
    </row>
    <row r="1561" spans="1:3" x14ac:dyDescent="0.3">
      <c r="A1561">
        <v>1560</v>
      </c>
      <c r="B1561" s="7">
        <v>1771535.711174747</v>
      </c>
      <c r="C1561">
        <f t="shared" si="24"/>
        <v>1</v>
      </c>
    </row>
    <row r="1562" spans="1:3" x14ac:dyDescent="0.3">
      <c r="A1562">
        <v>1561</v>
      </c>
      <c r="B1562" s="7">
        <v>8183497.9039413845</v>
      </c>
      <c r="C1562">
        <f t="shared" si="24"/>
        <v>1</v>
      </c>
    </row>
    <row r="1563" spans="1:3" x14ac:dyDescent="0.3">
      <c r="A1563">
        <v>1562</v>
      </c>
      <c r="B1563" s="7">
        <v>9362182.7650143597</v>
      </c>
      <c r="C1563">
        <f t="shared" si="24"/>
        <v>1</v>
      </c>
    </row>
    <row r="1564" spans="1:3" x14ac:dyDescent="0.3">
      <c r="A1564">
        <v>1563</v>
      </c>
      <c r="B1564" s="7">
        <v>4104263.682812959</v>
      </c>
      <c r="C1564">
        <f t="shared" si="24"/>
        <v>1</v>
      </c>
    </row>
    <row r="1565" spans="1:3" x14ac:dyDescent="0.3">
      <c r="A1565">
        <v>1564</v>
      </c>
      <c r="B1565" s="7">
        <v>37674.405173941836</v>
      </c>
      <c r="C1565">
        <f t="shared" si="24"/>
        <v>1</v>
      </c>
    </row>
    <row r="1566" spans="1:3" x14ac:dyDescent="0.3">
      <c r="A1566">
        <v>1565</v>
      </c>
      <c r="B1566" s="7">
        <v>2346754.5297855777</v>
      </c>
      <c r="C1566">
        <f t="shared" si="24"/>
        <v>1</v>
      </c>
    </row>
    <row r="1567" spans="1:3" x14ac:dyDescent="0.3">
      <c r="A1567">
        <v>1566</v>
      </c>
      <c r="B1567" s="7">
        <v>5422900.1366071329</v>
      </c>
      <c r="C1567">
        <f t="shared" si="24"/>
        <v>1</v>
      </c>
    </row>
    <row r="1568" spans="1:3" x14ac:dyDescent="0.3">
      <c r="A1568">
        <v>1567</v>
      </c>
      <c r="B1568" s="7">
        <v>1140731.4940321345</v>
      </c>
      <c r="C1568">
        <f t="shared" si="24"/>
        <v>1</v>
      </c>
    </row>
    <row r="1569" spans="1:3" x14ac:dyDescent="0.3">
      <c r="A1569">
        <v>1568</v>
      </c>
      <c r="B1569" s="7">
        <v>2792471.968763914</v>
      </c>
      <c r="C1569">
        <f t="shared" si="24"/>
        <v>1</v>
      </c>
    </row>
    <row r="1570" spans="1:3" x14ac:dyDescent="0.3">
      <c r="A1570">
        <v>1569</v>
      </c>
      <c r="B1570" s="7">
        <v>7132393.9413514799</v>
      </c>
      <c r="C1570">
        <f t="shared" si="24"/>
        <v>1</v>
      </c>
    </row>
    <row r="1571" spans="1:3" x14ac:dyDescent="0.3">
      <c r="A1571">
        <v>1570</v>
      </c>
      <c r="B1571" s="7">
        <v>7004561.3958782749</v>
      </c>
      <c r="C1571">
        <f t="shared" si="24"/>
        <v>1</v>
      </c>
    </row>
    <row r="1572" spans="1:3" x14ac:dyDescent="0.3">
      <c r="A1572">
        <v>1571</v>
      </c>
      <c r="B1572" s="7">
        <v>9693291.6835949458</v>
      </c>
      <c r="C1572">
        <f t="shared" si="24"/>
        <v>1</v>
      </c>
    </row>
    <row r="1573" spans="1:3" x14ac:dyDescent="0.3">
      <c r="A1573">
        <v>1572</v>
      </c>
      <c r="B1573" s="7">
        <v>4095907.1108650193</v>
      </c>
      <c r="C1573">
        <f t="shared" si="24"/>
        <v>1</v>
      </c>
    </row>
    <row r="1574" spans="1:3" x14ac:dyDescent="0.3">
      <c r="A1574">
        <v>1573</v>
      </c>
      <c r="B1574" s="7">
        <v>1806237.1967471044</v>
      </c>
      <c r="C1574">
        <f t="shared" si="24"/>
        <v>1</v>
      </c>
    </row>
    <row r="1575" spans="1:3" x14ac:dyDescent="0.3">
      <c r="A1575">
        <v>1574</v>
      </c>
      <c r="B1575" s="7">
        <v>2961357.1849171743</v>
      </c>
      <c r="C1575">
        <f t="shared" si="24"/>
        <v>1</v>
      </c>
    </row>
    <row r="1576" spans="1:3" x14ac:dyDescent="0.3">
      <c r="A1576">
        <v>1575</v>
      </c>
      <c r="B1576" s="7">
        <v>7150707.1641660836</v>
      </c>
      <c r="C1576">
        <f t="shared" si="24"/>
        <v>1</v>
      </c>
    </row>
    <row r="1577" spans="1:3" x14ac:dyDescent="0.3">
      <c r="A1577">
        <v>1576</v>
      </c>
      <c r="B1577" s="7">
        <v>5313527.5367106143</v>
      </c>
      <c r="C1577">
        <f t="shared" si="24"/>
        <v>1</v>
      </c>
    </row>
    <row r="1578" spans="1:3" x14ac:dyDescent="0.3">
      <c r="A1578">
        <v>1577</v>
      </c>
      <c r="B1578" s="7">
        <v>9191525.9236732461</v>
      </c>
      <c r="C1578">
        <f t="shared" si="24"/>
        <v>1</v>
      </c>
    </row>
    <row r="1579" spans="1:3" x14ac:dyDescent="0.3">
      <c r="A1579">
        <v>1578</v>
      </c>
      <c r="B1579" s="7">
        <v>5318146.8531459216</v>
      </c>
      <c r="C1579">
        <f t="shared" si="24"/>
        <v>1</v>
      </c>
    </row>
    <row r="1580" spans="1:3" x14ac:dyDescent="0.3">
      <c r="A1580">
        <v>1579</v>
      </c>
      <c r="B1580" s="7">
        <v>4630988.8722219132</v>
      </c>
      <c r="C1580">
        <f t="shared" si="24"/>
        <v>1</v>
      </c>
    </row>
    <row r="1581" spans="1:3" x14ac:dyDescent="0.3">
      <c r="A1581">
        <v>1580</v>
      </c>
      <c r="B1581" s="7">
        <v>7813064.9597374192</v>
      </c>
      <c r="C1581">
        <f t="shared" si="24"/>
        <v>1</v>
      </c>
    </row>
    <row r="1582" spans="1:3" x14ac:dyDescent="0.3">
      <c r="A1582">
        <v>1581</v>
      </c>
      <c r="B1582" s="7">
        <v>0</v>
      </c>
      <c r="C1582">
        <f t="shared" si="24"/>
        <v>0</v>
      </c>
    </row>
    <row r="1583" spans="1:3" x14ac:dyDescent="0.3">
      <c r="A1583">
        <v>1582</v>
      </c>
      <c r="B1583" s="7">
        <v>5892103.1620243592</v>
      </c>
      <c r="C1583">
        <f t="shared" si="24"/>
        <v>1</v>
      </c>
    </row>
    <row r="1584" spans="1:3" x14ac:dyDescent="0.3">
      <c r="A1584">
        <v>1583</v>
      </c>
      <c r="B1584" s="7">
        <v>57716.799735894725</v>
      </c>
      <c r="C1584">
        <f t="shared" si="24"/>
        <v>1</v>
      </c>
    </row>
    <row r="1585" spans="1:3" x14ac:dyDescent="0.3">
      <c r="A1585">
        <v>1584</v>
      </c>
      <c r="B1585" s="7">
        <v>3070420.2431774121</v>
      </c>
      <c r="C1585">
        <f t="shared" si="24"/>
        <v>1</v>
      </c>
    </row>
    <row r="1586" spans="1:3" x14ac:dyDescent="0.3">
      <c r="A1586">
        <v>1585</v>
      </c>
      <c r="B1586" s="7">
        <v>6013683.861025501</v>
      </c>
      <c r="C1586">
        <f t="shared" si="24"/>
        <v>1</v>
      </c>
    </row>
    <row r="1587" spans="1:3" x14ac:dyDescent="0.3">
      <c r="A1587">
        <v>1586</v>
      </c>
      <c r="B1587" s="7">
        <v>5530229.4527111715</v>
      </c>
      <c r="C1587">
        <f t="shared" si="24"/>
        <v>1</v>
      </c>
    </row>
    <row r="1588" spans="1:3" x14ac:dyDescent="0.3">
      <c r="A1588">
        <v>1587</v>
      </c>
      <c r="B1588" s="7">
        <v>7086165.7384125935</v>
      </c>
      <c r="C1588">
        <f t="shared" si="24"/>
        <v>1</v>
      </c>
    </row>
    <row r="1589" spans="1:3" x14ac:dyDescent="0.3">
      <c r="A1589">
        <v>1588</v>
      </c>
      <c r="B1589" s="7">
        <v>5338398.1425372073</v>
      </c>
      <c r="C1589">
        <f t="shared" si="24"/>
        <v>1</v>
      </c>
    </row>
    <row r="1590" spans="1:3" x14ac:dyDescent="0.3">
      <c r="A1590">
        <v>1589</v>
      </c>
      <c r="B1590" s="7">
        <v>1792422.6780251784</v>
      </c>
      <c r="C1590">
        <f t="shared" si="24"/>
        <v>1</v>
      </c>
    </row>
    <row r="1591" spans="1:3" x14ac:dyDescent="0.3">
      <c r="A1591">
        <v>1590</v>
      </c>
      <c r="B1591" s="7">
        <v>6372920.3394476315</v>
      </c>
      <c r="C1591">
        <f t="shared" si="24"/>
        <v>1</v>
      </c>
    </row>
    <row r="1592" spans="1:3" x14ac:dyDescent="0.3">
      <c r="A1592">
        <v>1591</v>
      </c>
      <c r="B1592" s="7">
        <v>1800508.9295584618</v>
      </c>
      <c r="C1592">
        <f t="shared" si="24"/>
        <v>1</v>
      </c>
    </row>
    <row r="1593" spans="1:3" x14ac:dyDescent="0.3">
      <c r="A1593">
        <v>1592</v>
      </c>
      <c r="B1593" s="7">
        <v>14498792.302378375</v>
      </c>
      <c r="C1593">
        <f t="shared" si="24"/>
        <v>1</v>
      </c>
    </row>
    <row r="1594" spans="1:3" x14ac:dyDescent="0.3">
      <c r="A1594">
        <v>1593</v>
      </c>
      <c r="B1594" s="7">
        <v>9223716.8752675466</v>
      </c>
      <c r="C1594">
        <f t="shared" si="24"/>
        <v>1</v>
      </c>
    </row>
    <row r="1595" spans="1:3" x14ac:dyDescent="0.3">
      <c r="A1595">
        <v>1594</v>
      </c>
      <c r="B1595" s="7">
        <v>829810.49709911284</v>
      </c>
      <c r="C1595">
        <f t="shared" si="24"/>
        <v>1</v>
      </c>
    </row>
    <row r="1596" spans="1:3" x14ac:dyDescent="0.3">
      <c r="A1596">
        <v>1595</v>
      </c>
      <c r="B1596" s="7">
        <v>8511807.1620140746</v>
      </c>
      <c r="C1596">
        <f t="shared" si="24"/>
        <v>1</v>
      </c>
    </row>
    <row r="1597" spans="1:3" x14ac:dyDescent="0.3">
      <c r="A1597">
        <v>1596</v>
      </c>
      <c r="B1597" s="7">
        <v>6037468.7771535981</v>
      </c>
      <c r="C1597">
        <f t="shared" si="24"/>
        <v>1</v>
      </c>
    </row>
    <row r="1598" spans="1:3" x14ac:dyDescent="0.3">
      <c r="A1598">
        <v>1597</v>
      </c>
      <c r="B1598" s="7">
        <v>13629262.917335033</v>
      </c>
      <c r="C1598">
        <f t="shared" si="24"/>
        <v>1</v>
      </c>
    </row>
    <row r="1599" spans="1:3" x14ac:dyDescent="0.3">
      <c r="A1599">
        <v>1598</v>
      </c>
      <c r="B1599" s="7">
        <v>13825393.409763969</v>
      </c>
      <c r="C1599">
        <f t="shared" si="24"/>
        <v>1</v>
      </c>
    </row>
    <row r="1600" spans="1:3" x14ac:dyDescent="0.3">
      <c r="A1600">
        <v>1599</v>
      </c>
      <c r="B1600" s="7">
        <v>2220573.1045455541</v>
      </c>
      <c r="C1600">
        <f t="shared" si="24"/>
        <v>1</v>
      </c>
    </row>
    <row r="1601" spans="1:3" x14ac:dyDescent="0.3">
      <c r="A1601">
        <v>1600</v>
      </c>
      <c r="B1601" s="7">
        <v>7786801.08885084</v>
      </c>
      <c r="C1601">
        <f t="shared" si="24"/>
        <v>1</v>
      </c>
    </row>
    <row r="1602" spans="1:3" x14ac:dyDescent="0.3">
      <c r="A1602">
        <v>1601</v>
      </c>
      <c r="B1602" s="7">
        <v>5637042.0441997088</v>
      </c>
      <c r="C1602">
        <f t="shared" si="24"/>
        <v>1</v>
      </c>
    </row>
    <row r="1603" spans="1:3" x14ac:dyDescent="0.3">
      <c r="A1603">
        <v>1602</v>
      </c>
      <c r="B1603" s="7">
        <v>4817798.8906122278</v>
      </c>
      <c r="C1603">
        <f t="shared" ref="C1603:C1666" si="25">IF(B1603=0,0,1)</f>
        <v>1</v>
      </c>
    </row>
    <row r="1604" spans="1:3" x14ac:dyDescent="0.3">
      <c r="A1604">
        <v>1603</v>
      </c>
      <c r="B1604" s="7">
        <v>10597427.388376174</v>
      </c>
      <c r="C1604">
        <f t="shared" si="25"/>
        <v>1</v>
      </c>
    </row>
    <row r="1605" spans="1:3" x14ac:dyDescent="0.3">
      <c r="A1605">
        <v>1604</v>
      </c>
      <c r="B1605" s="7">
        <v>2365166.8645937755</v>
      </c>
      <c r="C1605">
        <f t="shared" si="25"/>
        <v>1</v>
      </c>
    </row>
    <row r="1606" spans="1:3" x14ac:dyDescent="0.3">
      <c r="A1606">
        <v>1605</v>
      </c>
      <c r="B1606" s="7">
        <v>6776271.7876435956</v>
      </c>
      <c r="C1606">
        <f t="shared" si="25"/>
        <v>1</v>
      </c>
    </row>
    <row r="1607" spans="1:3" x14ac:dyDescent="0.3">
      <c r="A1607">
        <v>1606</v>
      </c>
      <c r="B1607" s="7">
        <v>13549485.75716562</v>
      </c>
      <c r="C1607">
        <f t="shared" si="25"/>
        <v>1</v>
      </c>
    </row>
    <row r="1608" spans="1:3" x14ac:dyDescent="0.3">
      <c r="A1608">
        <v>1607</v>
      </c>
      <c r="B1608" s="7">
        <v>5280246.6507490259</v>
      </c>
      <c r="C1608">
        <f t="shared" si="25"/>
        <v>1</v>
      </c>
    </row>
    <row r="1609" spans="1:3" x14ac:dyDescent="0.3">
      <c r="A1609">
        <v>1608</v>
      </c>
      <c r="B1609" s="7">
        <v>4964423.0909551792</v>
      </c>
      <c r="C1609">
        <f t="shared" si="25"/>
        <v>1</v>
      </c>
    </row>
    <row r="1610" spans="1:3" x14ac:dyDescent="0.3">
      <c r="A1610">
        <v>1609</v>
      </c>
      <c r="B1610" s="7">
        <v>9818733.871078724</v>
      </c>
      <c r="C1610">
        <f t="shared" si="25"/>
        <v>1</v>
      </c>
    </row>
    <row r="1611" spans="1:3" x14ac:dyDescent="0.3">
      <c r="A1611">
        <v>1610</v>
      </c>
      <c r="B1611" s="7">
        <v>1210426.3716034219</v>
      </c>
      <c r="C1611">
        <f t="shared" si="25"/>
        <v>1</v>
      </c>
    </row>
    <row r="1612" spans="1:3" x14ac:dyDescent="0.3">
      <c r="A1612">
        <v>1611</v>
      </c>
      <c r="B1612" s="7">
        <v>0</v>
      </c>
      <c r="C1612">
        <f t="shared" si="25"/>
        <v>0</v>
      </c>
    </row>
    <row r="1613" spans="1:3" x14ac:dyDescent="0.3">
      <c r="A1613">
        <v>1612</v>
      </c>
      <c r="B1613" s="7">
        <v>3682444.2868298204</v>
      </c>
      <c r="C1613">
        <f t="shared" si="25"/>
        <v>1</v>
      </c>
    </row>
    <row r="1614" spans="1:3" x14ac:dyDescent="0.3">
      <c r="A1614">
        <v>1613</v>
      </c>
      <c r="B1614" s="7">
        <v>5140323.0217011189</v>
      </c>
      <c r="C1614">
        <f t="shared" si="25"/>
        <v>1</v>
      </c>
    </row>
    <row r="1615" spans="1:3" x14ac:dyDescent="0.3">
      <c r="A1615">
        <v>1614</v>
      </c>
      <c r="B1615" s="7">
        <v>13627627.178924559</v>
      </c>
      <c r="C1615">
        <f t="shared" si="25"/>
        <v>1</v>
      </c>
    </row>
    <row r="1616" spans="1:3" x14ac:dyDescent="0.3">
      <c r="A1616">
        <v>1615</v>
      </c>
      <c r="B1616" s="7">
        <v>18190201.610004816</v>
      </c>
      <c r="C1616">
        <f t="shared" si="25"/>
        <v>1</v>
      </c>
    </row>
    <row r="1617" spans="1:3" x14ac:dyDescent="0.3">
      <c r="A1617">
        <v>1616</v>
      </c>
      <c r="B1617" s="7">
        <v>7921971.0069557568</v>
      </c>
      <c r="C1617">
        <f t="shared" si="25"/>
        <v>1</v>
      </c>
    </row>
    <row r="1618" spans="1:3" x14ac:dyDescent="0.3">
      <c r="A1618">
        <v>1617</v>
      </c>
      <c r="B1618" s="7">
        <v>2245724.5553635526</v>
      </c>
      <c r="C1618">
        <f t="shared" si="25"/>
        <v>1</v>
      </c>
    </row>
    <row r="1619" spans="1:3" x14ac:dyDescent="0.3">
      <c r="A1619">
        <v>1618</v>
      </c>
      <c r="B1619" s="7">
        <v>1746348.1680111941</v>
      </c>
      <c r="C1619">
        <f t="shared" si="25"/>
        <v>1</v>
      </c>
    </row>
    <row r="1620" spans="1:3" x14ac:dyDescent="0.3">
      <c r="A1620">
        <v>1619</v>
      </c>
      <c r="B1620" s="7">
        <v>3318815.6915990398</v>
      </c>
      <c r="C1620">
        <f t="shared" si="25"/>
        <v>1</v>
      </c>
    </row>
    <row r="1621" spans="1:3" x14ac:dyDescent="0.3">
      <c r="A1621">
        <v>1620</v>
      </c>
      <c r="B1621" s="7">
        <v>9810863.4924135339</v>
      </c>
      <c r="C1621">
        <f t="shared" si="25"/>
        <v>1</v>
      </c>
    </row>
    <row r="1622" spans="1:3" x14ac:dyDescent="0.3">
      <c r="A1622">
        <v>1621</v>
      </c>
      <c r="B1622" s="7">
        <v>5299660.0964812059</v>
      </c>
      <c r="C1622">
        <f t="shared" si="25"/>
        <v>1</v>
      </c>
    </row>
    <row r="1623" spans="1:3" x14ac:dyDescent="0.3">
      <c r="A1623">
        <v>1622</v>
      </c>
      <c r="B1623" s="7">
        <v>10653453.594403474</v>
      </c>
      <c r="C1623">
        <f t="shared" si="25"/>
        <v>1</v>
      </c>
    </row>
    <row r="1624" spans="1:3" x14ac:dyDescent="0.3">
      <c r="A1624">
        <v>1623</v>
      </c>
      <c r="B1624" s="7">
        <v>3194969.0075292368</v>
      </c>
      <c r="C1624">
        <f t="shared" si="25"/>
        <v>1</v>
      </c>
    </row>
    <row r="1625" spans="1:3" x14ac:dyDescent="0.3">
      <c r="A1625">
        <v>1624</v>
      </c>
      <c r="B1625" s="7">
        <v>3201355.0971383173</v>
      </c>
      <c r="C1625">
        <f t="shared" si="25"/>
        <v>1</v>
      </c>
    </row>
    <row r="1626" spans="1:3" x14ac:dyDescent="0.3">
      <c r="A1626">
        <v>1625</v>
      </c>
      <c r="B1626" s="7">
        <v>5578740.7163594868</v>
      </c>
      <c r="C1626">
        <f t="shared" si="25"/>
        <v>1</v>
      </c>
    </row>
    <row r="1627" spans="1:3" x14ac:dyDescent="0.3">
      <c r="A1627">
        <v>1626</v>
      </c>
      <c r="B1627" s="7">
        <v>8111204.1879914515</v>
      </c>
      <c r="C1627">
        <f t="shared" si="25"/>
        <v>1</v>
      </c>
    </row>
    <row r="1628" spans="1:3" x14ac:dyDescent="0.3">
      <c r="A1628">
        <v>1627</v>
      </c>
      <c r="B1628" s="7">
        <v>1329167.6174651003</v>
      </c>
      <c r="C1628">
        <f t="shared" si="25"/>
        <v>1</v>
      </c>
    </row>
    <row r="1629" spans="1:3" x14ac:dyDescent="0.3">
      <c r="A1629">
        <v>1628</v>
      </c>
      <c r="B1629" s="7">
        <v>5058074.972683195</v>
      </c>
      <c r="C1629">
        <f t="shared" si="25"/>
        <v>1</v>
      </c>
    </row>
    <row r="1630" spans="1:3" x14ac:dyDescent="0.3">
      <c r="A1630">
        <v>1629</v>
      </c>
      <c r="B1630" s="7">
        <v>7796125.5843101339</v>
      </c>
      <c r="C1630">
        <f t="shared" si="25"/>
        <v>1</v>
      </c>
    </row>
    <row r="1631" spans="1:3" x14ac:dyDescent="0.3">
      <c r="A1631">
        <v>1630</v>
      </c>
      <c r="B1631" s="7">
        <v>17269198.073364094</v>
      </c>
      <c r="C1631">
        <f t="shared" si="25"/>
        <v>1</v>
      </c>
    </row>
    <row r="1632" spans="1:3" x14ac:dyDescent="0.3">
      <c r="A1632">
        <v>1631</v>
      </c>
      <c r="B1632" s="7">
        <v>7827093.5744819632</v>
      </c>
      <c r="C1632">
        <f t="shared" si="25"/>
        <v>1</v>
      </c>
    </row>
    <row r="1633" spans="1:3" x14ac:dyDescent="0.3">
      <c r="A1633">
        <v>1632</v>
      </c>
      <c r="B1633" s="7">
        <v>63739.456745798925</v>
      </c>
      <c r="C1633">
        <f t="shared" si="25"/>
        <v>1</v>
      </c>
    </row>
    <row r="1634" spans="1:3" x14ac:dyDescent="0.3">
      <c r="A1634">
        <v>1633</v>
      </c>
      <c r="B1634" s="7">
        <v>3999905.0314291036</v>
      </c>
      <c r="C1634">
        <f t="shared" si="25"/>
        <v>1</v>
      </c>
    </row>
    <row r="1635" spans="1:3" x14ac:dyDescent="0.3">
      <c r="A1635">
        <v>1634</v>
      </c>
      <c r="B1635" s="7">
        <v>4330020.8958366569</v>
      </c>
      <c r="C1635">
        <f t="shared" si="25"/>
        <v>1</v>
      </c>
    </row>
    <row r="1636" spans="1:3" x14ac:dyDescent="0.3">
      <c r="A1636">
        <v>1635</v>
      </c>
      <c r="B1636" s="7">
        <v>6611501.1971879983</v>
      </c>
      <c r="C1636">
        <f t="shared" si="25"/>
        <v>1</v>
      </c>
    </row>
    <row r="1637" spans="1:3" x14ac:dyDescent="0.3">
      <c r="A1637">
        <v>1636</v>
      </c>
      <c r="B1637" s="7">
        <v>5830304.3190959012</v>
      </c>
      <c r="C1637">
        <f t="shared" si="25"/>
        <v>1</v>
      </c>
    </row>
    <row r="1638" spans="1:3" x14ac:dyDescent="0.3">
      <c r="A1638">
        <v>1637</v>
      </c>
      <c r="B1638" s="7">
        <v>5449978.3994571753</v>
      </c>
      <c r="C1638">
        <f t="shared" si="25"/>
        <v>1</v>
      </c>
    </row>
    <row r="1639" spans="1:3" x14ac:dyDescent="0.3">
      <c r="A1639">
        <v>1638</v>
      </c>
      <c r="B1639" s="7">
        <v>2756571.4012557101</v>
      </c>
      <c r="C1639">
        <f t="shared" si="25"/>
        <v>1</v>
      </c>
    </row>
    <row r="1640" spans="1:3" x14ac:dyDescent="0.3">
      <c r="A1640">
        <v>1639</v>
      </c>
      <c r="B1640" s="7">
        <v>3418391.6819671416</v>
      </c>
      <c r="C1640">
        <f t="shared" si="25"/>
        <v>1</v>
      </c>
    </row>
    <row r="1641" spans="1:3" x14ac:dyDescent="0.3">
      <c r="A1641">
        <v>1640</v>
      </c>
      <c r="B1641" s="7">
        <v>11393610.313940182</v>
      </c>
      <c r="C1641">
        <f t="shared" si="25"/>
        <v>1</v>
      </c>
    </row>
    <row r="1642" spans="1:3" x14ac:dyDescent="0.3">
      <c r="A1642">
        <v>1641</v>
      </c>
      <c r="B1642" s="7">
        <v>18319122.690437172</v>
      </c>
      <c r="C1642">
        <f t="shared" si="25"/>
        <v>1</v>
      </c>
    </row>
    <row r="1643" spans="1:3" x14ac:dyDescent="0.3">
      <c r="A1643">
        <v>1642</v>
      </c>
      <c r="B1643" s="7">
        <v>3130471.3709858628</v>
      </c>
      <c r="C1643">
        <f t="shared" si="25"/>
        <v>1</v>
      </c>
    </row>
    <row r="1644" spans="1:3" x14ac:dyDescent="0.3">
      <c r="A1644">
        <v>1643</v>
      </c>
      <c r="B1644" s="7">
        <v>3961878.3858417561</v>
      </c>
      <c r="C1644">
        <f t="shared" si="25"/>
        <v>1</v>
      </c>
    </row>
    <row r="1645" spans="1:3" x14ac:dyDescent="0.3">
      <c r="A1645">
        <v>1644</v>
      </c>
      <c r="B1645" s="7">
        <v>4302656.6554956893</v>
      </c>
      <c r="C1645">
        <f t="shared" si="25"/>
        <v>1</v>
      </c>
    </row>
    <row r="1646" spans="1:3" x14ac:dyDescent="0.3">
      <c r="A1646">
        <v>1645</v>
      </c>
      <c r="B1646" s="7">
        <v>3656040.7088935385</v>
      </c>
      <c r="C1646">
        <f t="shared" si="25"/>
        <v>1</v>
      </c>
    </row>
    <row r="1647" spans="1:3" x14ac:dyDescent="0.3">
      <c r="A1647">
        <v>1646</v>
      </c>
      <c r="B1647" s="7">
        <v>5444193.2378473338</v>
      </c>
      <c r="C1647">
        <f t="shared" si="25"/>
        <v>1</v>
      </c>
    </row>
    <row r="1648" spans="1:3" x14ac:dyDescent="0.3">
      <c r="A1648">
        <v>1647</v>
      </c>
      <c r="B1648" s="7">
        <v>5314690.7636337485</v>
      </c>
      <c r="C1648">
        <f t="shared" si="25"/>
        <v>1</v>
      </c>
    </row>
    <row r="1649" spans="1:3" x14ac:dyDescent="0.3">
      <c r="A1649">
        <v>1648</v>
      </c>
      <c r="B1649" s="7">
        <v>6843427.1118024457</v>
      </c>
      <c r="C1649">
        <f t="shared" si="25"/>
        <v>1</v>
      </c>
    </row>
    <row r="1650" spans="1:3" x14ac:dyDescent="0.3">
      <c r="A1650">
        <v>1649</v>
      </c>
      <c r="B1650" s="7">
        <v>2153487.9355560667</v>
      </c>
      <c r="C1650">
        <f t="shared" si="25"/>
        <v>1</v>
      </c>
    </row>
    <row r="1651" spans="1:3" x14ac:dyDescent="0.3">
      <c r="A1651">
        <v>1650</v>
      </c>
      <c r="B1651" s="7">
        <v>1778643.0715452796</v>
      </c>
      <c r="C1651">
        <f t="shared" si="25"/>
        <v>1</v>
      </c>
    </row>
    <row r="1652" spans="1:3" x14ac:dyDescent="0.3">
      <c r="A1652">
        <v>1651</v>
      </c>
      <c r="B1652" s="7">
        <v>2775136.5590153416</v>
      </c>
      <c r="C1652">
        <f t="shared" si="25"/>
        <v>1</v>
      </c>
    </row>
    <row r="1653" spans="1:3" x14ac:dyDescent="0.3">
      <c r="A1653">
        <v>1652</v>
      </c>
      <c r="B1653" s="7">
        <v>1191118.9005424008</v>
      </c>
      <c r="C1653">
        <f t="shared" si="25"/>
        <v>1</v>
      </c>
    </row>
    <row r="1654" spans="1:3" x14ac:dyDescent="0.3">
      <c r="A1654">
        <v>1653</v>
      </c>
      <c r="B1654" s="7">
        <v>2872743.0653176126</v>
      </c>
      <c r="C1654">
        <f t="shared" si="25"/>
        <v>1</v>
      </c>
    </row>
    <row r="1655" spans="1:3" x14ac:dyDescent="0.3">
      <c r="A1655">
        <v>1654</v>
      </c>
      <c r="B1655" s="7">
        <v>9711375.2975578047</v>
      </c>
      <c r="C1655">
        <f t="shared" si="25"/>
        <v>1</v>
      </c>
    </row>
    <row r="1656" spans="1:3" x14ac:dyDescent="0.3">
      <c r="A1656">
        <v>1655</v>
      </c>
      <c r="B1656" s="7">
        <v>5198484.9381499318</v>
      </c>
      <c r="C1656">
        <f t="shared" si="25"/>
        <v>1</v>
      </c>
    </row>
    <row r="1657" spans="1:3" x14ac:dyDescent="0.3">
      <c r="A1657">
        <v>1656</v>
      </c>
      <c r="B1657" s="7">
        <v>4088405.4348017992</v>
      </c>
      <c r="C1657">
        <f t="shared" si="25"/>
        <v>1</v>
      </c>
    </row>
    <row r="1658" spans="1:3" x14ac:dyDescent="0.3">
      <c r="A1658">
        <v>1657</v>
      </c>
      <c r="B1658" s="7">
        <v>21155397.366754878</v>
      </c>
      <c r="C1658">
        <f t="shared" si="25"/>
        <v>1</v>
      </c>
    </row>
    <row r="1659" spans="1:3" x14ac:dyDescent="0.3">
      <c r="A1659">
        <v>1658</v>
      </c>
      <c r="B1659" s="7">
        <v>1986378.4837510439</v>
      </c>
      <c r="C1659">
        <f t="shared" si="25"/>
        <v>1</v>
      </c>
    </row>
    <row r="1660" spans="1:3" x14ac:dyDescent="0.3">
      <c r="A1660">
        <v>1659</v>
      </c>
      <c r="B1660" s="7">
        <v>6286187.7694093175</v>
      </c>
      <c r="C1660">
        <f t="shared" si="25"/>
        <v>1</v>
      </c>
    </row>
    <row r="1661" spans="1:3" x14ac:dyDescent="0.3">
      <c r="A1661">
        <v>1660</v>
      </c>
      <c r="B1661" s="7">
        <v>1226863.2534816239</v>
      </c>
      <c r="C1661">
        <f t="shared" si="25"/>
        <v>1</v>
      </c>
    </row>
    <row r="1662" spans="1:3" x14ac:dyDescent="0.3">
      <c r="A1662">
        <v>1661</v>
      </c>
      <c r="B1662" s="7">
        <v>615955.34741785971</v>
      </c>
      <c r="C1662">
        <f t="shared" si="25"/>
        <v>1</v>
      </c>
    </row>
    <row r="1663" spans="1:3" x14ac:dyDescent="0.3">
      <c r="A1663">
        <v>1662</v>
      </c>
      <c r="B1663" s="7">
        <v>17607203.772184469</v>
      </c>
      <c r="C1663">
        <f t="shared" si="25"/>
        <v>1</v>
      </c>
    </row>
    <row r="1664" spans="1:3" x14ac:dyDescent="0.3">
      <c r="A1664">
        <v>1663</v>
      </c>
      <c r="B1664" s="7">
        <v>8572408.9945295937</v>
      </c>
      <c r="C1664">
        <f t="shared" si="25"/>
        <v>1</v>
      </c>
    </row>
    <row r="1665" spans="1:3" x14ac:dyDescent="0.3">
      <c r="A1665">
        <v>1664</v>
      </c>
      <c r="B1665" s="7">
        <v>5445988.0006082822</v>
      </c>
      <c r="C1665">
        <f t="shared" si="25"/>
        <v>1</v>
      </c>
    </row>
    <row r="1666" spans="1:3" x14ac:dyDescent="0.3">
      <c r="A1666">
        <v>1665</v>
      </c>
      <c r="B1666" s="7">
        <v>4787485.7594013102</v>
      </c>
      <c r="C1666">
        <f t="shared" si="25"/>
        <v>1</v>
      </c>
    </row>
    <row r="1667" spans="1:3" x14ac:dyDescent="0.3">
      <c r="A1667">
        <v>1666</v>
      </c>
      <c r="B1667" s="7">
        <v>858592.15464659</v>
      </c>
      <c r="C1667">
        <f t="shared" ref="C1667:C1730" si="26">IF(B1667=0,0,1)</f>
        <v>1</v>
      </c>
    </row>
    <row r="1668" spans="1:3" x14ac:dyDescent="0.3">
      <c r="A1668">
        <v>1667</v>
      </c>
      <c r="B1668" s="7">
        <v>4313061.7193776863</v>
      </c>
      <c r="C1668">
        <f t="shared" si="26"/>
        <v>1</v>
      </c>
    </row>
    <row r="1669" spans="1:3" x14ac:dyDescent="0.3">
      <c r="A1669">
        <v>1668</v>
      </c>
      <c r="B1669" s="7">
        <v>16284601.280220071</v>
      </c>
      <c r="C1669">
        <f t="shared" si="26"/>
        <v>1</v>
      </c>
    </row>
    <row r="1670" spans="1:3" x14ac:dyDescent="0.3">
      <c r="A1670">
        <v>1669</v>
      </c>
      <c r="B1670" s="7">
        <v>3554165.9137256485</v>
      </c>
      <c r="C1670">
        <f t="shared" si="26"/>
        <v>1</v>
      </c>
    </row>
    <row r="1671" spans="1:3" x14ac:dyDescent="0.3">
      <c r="A1671">
        <v>1670</v>
      </c>
      <c r="B1671" s="7">
        <v>6323200.1551514091</v>
      </c>
      <c r="C1671">
        <f t="shared" si="26"/>
        <v>1</v>
      </c>
    </row>
    <row r="1672" spans="1:3" x14ac:dyDescent="0.3">
      <c r="A1672">
        <v>1671</v>
      </c>
      <c r="B1672" s="7">
        <v>2875724.7087024255</v>
      </c>
      <c r="C1672">
        <f t="shared" si="26"/>
        <v>1</v>
      </c>
    </row>
    <row r="1673" spans="1:3" x14ac:dyDescent="0.3">
      <c r="A1673">
        <v>1672</v>
      </c>
      <c r="B1673" s="7">
        <v>6910091.3854108192</v>
      </c>
      <c r="C1673">
        <f t="shared" si="26"/>
        <v>1</v>
      </c>
    </row>
    <row r="1674" spans="1:3" x14ac:dyDescent="0.3">
      <c r="A1674">
        <v>1673</v>
      </c>
      <c r="B1674" s="7">
        <v>7244874.81962022</v>
      </c>
      <c r="C1674">
        <f t="shared" si="26"/>
        <v>1</v>
      </c>
    </row>
    <row r="1675" spans="1:3" x14ac:dyDescent="0.3">
      <c r="A1675">
        <v>1674</v>
      </c>
      <c r="B1675" s="7">
        <v>3411172.579964329</v>
      </c>
      <c r="C1675">
        <f t="shared" si="26"/>
        <v>1</v>
      </c>
    </row>
    <row r="1676" spans="1:3" x14ac:dyDescent="0.3">
      <c r="A1676">
        <v>1675</v>
      </c>
      <c r="B1676" s="7">
        <v>5095204.0273856893</v>
      </c>
      <c r="C1676">
        <f t="shared" si="26"/>
        <v>1</v>
      </c>
    </row>
    <row r="1677" spans="1:3" x14ac:dyDescent="0.3">
      <c r="A1677">
        <v>1676</v>
      </c>
      <c r="B1677" s="7">
        <v>6484099.8314646045</v>
      </c>
      <c r="C1677">
        <f t="shared" si="26"/>
        <v>1</v>
      </c>
    </row>
    <row r="1678" spans="1:3" x14ac:dyDescent="0.3">
      <c r="A1678">
        <v>1677</v>
      </c>
      <c r="B1678" s="7">
        <v>642844.61491975817</v>
      </c>
      <c r="C1678">
        <f t="shared" si="26"/>
        <v>1</v>
      </c>
    </row>
    <row r="1679" spans="1:3" x14ac:dyDescent="0.3">
      <c r="A1679">
        <v>1678</v>
      </c>
      <c r="B1679" s="7">
        <v>0</v>
      </c>
      <c r="C1679">
        <f t="shared" si="26"/>
        <v>0</v>
      </c>
    </row>
    <row r="1680" spans="1:3" x14ac:dyDescent="0.3">
      <c r="A1680">
        <v>1679</v>
      </c>
      <c r="B1680" s="7">
        <v>7362593.3469201401</v>
      </c>
      <c r="C1680">
        <f t="shared" si="26"/>
        <v>1</v>
      </c>
    </row>
    <row r="1681" spans="1:3" x14ac:dyDescent="0.3">
      <c r="A1681">
        <v>1680</v>
      </c>
      <c r="B1681" s="7">
        <v>4877807.5473385155</v>
      </c>
      <c r="C1681">
        <f t="shared" si="26"/>
        <v>1</v>
      </c>
    </row>
    <row r="1682" spans="1:3" x14ac:dyDescent="0.3">
      <c r="A1682">
        <v>1681</v>
      </c>
      <c r="B1682" s="7">
        <v>4386683.8553049034</v>
      </c>
      <c r="C1682">
        <f t="shared" si="26"/>
        <v>1</v>
      </c>
    </row>
    <row r="1683" spans="1:3" x14ac:dyDescent="0.3">
      <c r="A1683">
        <v>1682</v>
      </c>
      <c r="B1683" s="7">
        <v>2570392.9652893976</v>
      </c>
      <c r="C1683">
        <f t="shared" si="26"/>
        <v>1</v>
      </c>
    </row>
    <row r="1684" spans="1:3" x14ac:dyDescent="0.3">
      <c r="A1684">
        <v>1683</v>
      </c>
      <c r="B1684" s="7">
        <v>1834349.8773133613</v>
      </c>
      <c r="C1684">
        <f t="shared" si="26"/>
        <v>1</v>
      </c>
    </row>
    <row r="1685" spans="1:3" x14ac:dyDescent="0.3">
      <c r="A1685">
        <v>1684</v>
      </c>
      <c r="B1685" s="7">
        <v>10008797.093341634</v>
      </c>
      <c r="C1685">
        <f t="shared" si="26"/>
        <v>1</v>
      </c>
    </row>
    <row r="1686" spans="1:3" x14ac:dyDescent="0.3">
      <c r="A1686">
        <v>1685</v>
      </c>
      <c r="B1686" s="7">
        <v>3419303.2323686164</v>
      </c>
      <c r="C1686">
        <f t="shared" si="26"/>
        <v>1</v>
      </c>
    </row>
    <row r="1687" spans="1:3" x14ac:dyDescent="0.3">
      <c r="A1687">
        <v>1686</v>
      </c>
      <c r="B1687" s="7">
        <v>16226405.851729458</v>
      </c>
      <c r="C1687">
        <f t="shared" si="26"/>
        <v>1</v>
      </c>
    </row>
    <row r="1688" spans="1:3" x14ac:dyDescent="0.3">
      <c r="A1688">
        <v>1687</v>
      </c>
      <c r="B1688" s="7">
        <v>4538824.9698947854</v>
      </c>
      <c r="C1688">
        <f t="shared" si="26"/>
        <v>1</v>
      </c>
    </row>
    <row r="1689" spans="1:3" x14ac:dyDescent="0.3">
      <c r="A1689">
        <v>1688</v>
      </c>
      <c r="B1689" s="7">
        <v>4492839.0460309833</v>
      </c>
      <c r="C1689">
        <f t="shared" si="26"/>
        <v>1</v>
      </c>
    </row>
    <row r="1690" spans="1:3" x14ac:dyDescent="0.3">
      <c r="A1690">
        <v>1689</v>
      </c>
      <c r="B1690" s="7">
        <v>9006928.6147764605</v>
      </c>
      <c r="C1690">
        <f t="shared" si="26"/>
        <v>1</v>
      </c>
    </row>
    <row r="1691" spans="1:3" x14ac:dyDescent="0.3">
      <c r="A1691">
        <v>1690</v>
      </c>
      <c r="B1691" s="7">
        <v>1060259.731606842</v>
      </c>
      <c r="C1691">
        <f t="shared" si="26"/>
        <v>1</v>
      </c>
    </row>
    <row r="1692" spans="1:3" x14ac:dyDescent="0.3">
      <c r="A1692">
        <v>1691</v>
      </c>
      <c r="B1692" s="7">
        <v>2854573.6366143771</v>
      </c>
      <c r="C1692">
        <f t="shared" si="26"/>
        <v>1</v>
      </c>
    </row>
    <row r="1693" spans="1:3" x14ac:dyDescent="0.3">
      <c r="A1693">
        <v>1692</v>
      </c>
      <c r="B1693" s="7">
        <v>2410656.5705182822</v>
      </c>
      <c r="C1693">
        <f t="shared" si="26"/>
        <v>1</v>
      </c>
    </row>
    <row r="1694" spans="1:3" x14ac:dyDescent="0.3">
      <c r="A1694">
        <v>1693</v>
      </c>
      <c r="B1694" s="7">
        <v>0</v>
      </c>
      <c r="C1694">
        <f t="shared" si="26"/>
        <v>0</v>
      </c>
    </row>
    <row r="1695" spans="1:3" x14ac:dyDescent="0.3">
      <c r="A1695">
        <v>1694</v>
      </c>
      <c r="B1695" s="7">
        <v>19243949.593717024</v>
      </c>
      <c r="C1695">
        <f t="shared" si="26"/>
        <v>1</v>
      </c>
    </row>
    <row r="1696" spans="1:3" x14ac:dyDescent="0.3">
      <c r="A1696">
        <v>1695</v>
      </c>
      <c r="B1696" s="7">
        <v>11597944.840853363</v>
      </c>
      <c r="C1696">
        <f t="shared" si="26"/>
        <v>1</v>
      </c>
    </row>
    <row r="1697" spans="1:3" x14ac:dyDescent="0.3">
      <c r="A1697">
        <v>1696</v>
      </c>
      <c r="B1697" s="7">
        <v>6573360.0369559182</v>
      </c>
      <c r="C1697">
        <f t="shared" si="26"/>
        <v>1</v>
      </c>
    </row>
    <row r="1698" spans="1:3" x14ac:dyDescent="0.3">
      <c r="A1698">
        <v>1697</v>
      </c>
      <c r="B1698" s="7">
        <v>4068486.2340395413</v>
      </c>
      <c r="C1698">
        <f t="shared" si="26"/>
        <v>1</v>
      </c>
    </row>
    <row r="1699" spans="1:3" x14ac:dyDescent="0.3">
      <c r="A1699">
        <v>1698</v>
      </c>
      <c r="B1699" s="7">
        <v>1758639.2025545067</v>
      </c>
      <c r="C1699">
        <f t="shared" si="26"/>
        <v>1</v>
      </c>
    </row>
    <row r="1700" spans="1:3" x14ac:dyDescent="0.3">
      <c r="A1700">
        <v>1699</v>
      </c>
      <c r="B1700" s="7">
        <v>2423001.118468116</v>
      </c>
      <c r="C1700">
        <f t="shared" si="26"/>
        <v>1</v>
      </c>
    </row>
    <row r="1701" spans="1:3" x14ac:dyDescent="0.3">
      <c r="A1701">
        <v>1700</v>
      </c>
      <c r="B1701" s="7">
        <v>5812989.4038909161</v>
      </c>
      <c r="C1701">
        <f t="shared" si="26"/>
        <v>1</v>
      </c>
    </row>
    <row r="1702" spans="1:3" x14ac:dyDescent="0.3">
      <c r="A1702">
        <v>1701</v>
      </c>
      <c r="B1702" s="7">
        <v>3648860.3627456678</v>
      </c>
      <c r="C1702">
        <f t="shared" si="26"/>
        <v>1</v>
      </c>
    </row>
    <row r="1703" spans="1:3" x14ac:dyDescent="0.3">
      <c r="A1703">
        <v>1702</v>
      </c>
      <c r="B1703" s="7">
        <v>3117305.5992990322</v>
      </c>
      <c r="C1703">
        <f t="shared" si="26"/>
        <v>1</v>
      </c>
    </row>
    <row r="1704" spans="1:3" x14ac:dyDescent="0.3">
      <c r="A1704">
        <v>1703</v>
      </c>
      <c r="B1704" s="7">
        <v>7026678.2330574589</v>
      </c>
      <c r="C1704">
        <f t="shared" si="26"/>
        <v>1</v>
      </c>
    </row>
    <row r="1705" spans="1:3" x14ac:dyDescent="0.3">
      <c r="A1705">
        <v>1704</v>
      </c>
      <c r="B1705" s="7">
        <v>8141220.5063613988</v>
      </c>
      <c r="C1705">
        <f t="shared" si="26"/>
        <v>1</v>
      </c>
    </row>
    <row r="1706" spans="1:3" x14ac:dyDescent="0.3">
      <c r="A1706">
        <v>1705</v>
      </c>
      <c r="B1706" s="7">
        <v>9216415.5201972928</v>
      </c>
      <c r="C1706">
        <f t="shared" si="26"/>
        <v>1</v>
      </c>
    </row>
    <row r="1707" spans="1:3" x14ac:dyDescent="0.3">
      <c r="A1707">
        <v>1706</v>
      </c>
      <c r="B1707" s="7">
        <v>11584867.316239187</v>
      </c>
      <c r="C1707">
        <f t="shared" si="26"/>
        <v>1</v>
      </c>
    </row>
    <row r="1708" spans="1:3" x14ac:dyDescent="0.3">
      <c r="A1708">
        <v>1707</v>
      </c>
      <c r="B1708" s="7">
        <v>2014243.9862988207</v>
      </c>
      <c r="C1708">
        <f t="shared" si="26"/>
        <v>1</v>
      </c>
    </row>
    <row r="1709" spans="1:3" x14ac:dyDescent="0.3">
      <c r="A1709">
        <v>1708</v>
      </c>
      <c r="B1709" s="7">
        <v>5425277.2758261273</v>
      </c>
      <c r="C1709">
        <f t="shared" si="26"/>
        <v>1</v>
      </c>
    </row>
    <row r="1710" spans="1:3" x14ac:dyDescent="0.3">
      <c r="A1710">
        <v>1709</v>
      </c>
      <c r="B1710" s="7">
        <v>10075827.104760209</v>
      </c>
      <c r="C1710">
        <f t="shared" si="26"/>
        <v>1</v>
      </c>
    </row>
    <row r="1711" spans="1:3" x14ac:dyDescent="0.3">
      <c r="A1711">
        <v>1710</v>
      </c>
      <c r="B1711" s="7">
        <v>4140778.2325042556</v>
      </c>
      <c r="C1711">
        <f t="shared" si="26"/>
        <v>1</v>
      </c>
    </row>
    <row r="1712" spans="1:3" x14ac:dyDescent="0.3">
      <c r="A1712">
        <v>1711</v>
      </c>
      <c r="B1712" s="7">
        <v>16645916.703436177</v>
      </c>
      <c r="C1712">
        <f t="shared" si="26"/>
        <v>1</v>
      </c>
    </row>
    <row r="1713" spans="1:3" x14ac:dyDescent="0.3">
      <c r="A1713">
        <v>1712</v>
      </c>
      <c r="B1713" s="7">
        <v>18082083.202462576</v>
      </c>
      <c r="C1713">
        <f t="shared" si="26"/>
        <v>1</v>
      </c>
    </row>
    <row r="1714" spans="1:3" x14ac:dyDescent="0.3">
      <c r="A1714">
        <v>1713</v>
      </c>
      <c r="B1714" s="7">
        <v>7869172.3732103761</v>
      </c>
      <c r="C1714">
        <f t="shared" si="26"/>
        <v>1</v>
      </c>
    </row>
    <row r="1715" spans="1:3" x14ac:dyDescent="0.3">
      <c r="A1715">
        <v>1714</v>
      </c>
      <c r="B1715" s="7">
        <v>3275352.8518491331</v>
      </c>
      <c r="C1715">
        <f t="shared" si="26"/>
        <v>1</v>
      </c>
    </row>
    <row r="1716" spans="1:3" x14ac:dyDescent="0.3">
      <c r="A1716">
        <v>1715</v>
      </c>
      <c r="B1716" s="7">
        <v>9383323.7702163439</v>
      </c>
      <c r="C1716">
        <f t="shared" si="26"/>
        <v>1</v>
      </c>
    </row>
    <row r="1717" spans="1:3" x14ac:dyDescent="0.3">
      <c r="A1717">
        <v>1716</v>
      </c>
      <c r="B1717" s="7">
        <v>13952342.371275144</v>
      </c>
      <c r="C1717">
        <f t="shared" si="26"/>
        <v>1</v>
      </c>
    </row>
    <row r="1718" spans="1:3" x14ac:dyDescent="0.3">
      <c r="A1718">
        <v>1717</v>
      </c>
      <c r="B1718" s="7">
        <v>2711256.8272916186</v>
      </c>
      <c r="C1718">
        <f t="shared" si="26"/>
        <v>1</v>
      </c>
    </row>
    <row r="1719" spans="1:3" x14ac:dyDescent="0.3">
      <c r="A1719">
        <v>1718</v>
      </c>
      <c r="B1719" s="7">
        <v>13305091.985696085</v>
      </c>
      <c r="C1719">
        <f t="shared" si="26"/>
        <v>1</v>
      </c>
    </row>
    <row r="1720" spans="1:3" x14ac:dyDescent="0.3">
      <c r="A1720">
        <v>1719</v>
      </c>
      <c r="B1720" s="7">
        <v>3732846.026839362</v>
      </c>
      <c r="C1720">
        <f t="shared" si="26"/>
        <v>1</v>
      </c>
    </row>
    <row r="1721" spans="1:3" x14ac:dyDescent="0.3">
      <c r="A1721">
        <v>1720</v>
      </c>
      <c r="B1721" s="7">
        <v>20085407.485274792</v>
      </c>
      <c r="C1721">
        <f t="shared" si="26"/>
        <v>1</v>
      </c>
    </row>
    <row r="1722" spans="1:3" x14ac:dyDescent="0.3">
      <c r="A1722">
        <v>1721</v>
      </c>
      <c r="B1722" s="7">
        <v>18631600.677580301</v>
      </c>
      <c r="C1722">
        <f t="shared" si="26"/>
        <v>1</v>
      </c>
    </row>
    <row r="1723" spans="1:3" x14ac:dyDescent="0.3">
      <c r="A1723">
        <v>1722</v>
      </c>
      <c r="B1723" s="7">
        <v>5054130.2879808666</v>
      </c>
      <c r="C1723">
        <f t="shared" si="26"/>
        <v>1</v>
      </c>
    </row>
    <row r="1724" spans="1:3" x14ac:dyDescent="0.3">
      <c r="A1724">
        <v>1723</v>
      </c>
      <c r="B1724" s="7">
        <v>4917300.8879855983</v>
      </c>
      <c r="C1724">
        <f t="shared" si="26"/>
        <v>1</v>
      </c>
    </row>
    <row r="1725" spans="1:3" x14ac:dyDescent="0.3">
      <c r="A1725">
        <v>1724</v>
      </c>
      <c r="B1725" s="7">
        <v>1798123.3178305163</v>
      </c>
      <c r="C1725">
        <f t="shared" si="26"/>
        <v>1</v>
      </c>
    </row>
    <row r="1726" spans="1:3" x14ac:dyDescent="0.3">
      <c r="A1726">
        <v>1725</v>
      </c>
      <c r="B1726" s="7">
        <v>5605838.2772352332</v>
      </c>
      <c r="C1726">
        <f t="shared" si="26"/>
        <v>1</v>
      </c>
    </row>
    <row r="1727" spans="1:3" x14ac:dyDescent="0.3">
      <c r="A1727">
        <v>1726</v>
      </c>
      <c r="B1727" s="7">
        <v>2282027.6852742778</v>
      </c>
      <c r="C1727">
        <f t="shared" si="26"/>
        <v>1</v>
      </c>
    </row>
    <row r="1728" spans="1:3" x14ac:dyDescent="0.3">
      <c r="A1728">
        <v>1727</v>
      </c>
      <c r="B1728" s="7">
        <v>5675790.4068711409</v>
      </c>
      <c r="C1728">
        <f t="shared" si="26"/>
        <v>1</v>
      </c>
    </row>
    <row r="1729" spans="1:3" x14ac:dyDescent="0.3">
      <c r="A1729">
        <v>1728</v>
      </c>
      <c r="B1729" s="7">
        <v>7069781.4375040103</v>
      </c>
      <c r="C1729">
        <f t="shared" si="26"/>
        <v>1</v>
      </c>
    </row>
    <row r="1730" spans="1:3" x14ac:dyDescent="0.3">
      <c r="A1730">
        <v>1729</v>
      </c>
      <c r="B1730" s="7">
        <v>381480.43272689061</v>
      </c>
      <c r="C1730">
        <f t="shared" si="26"/>
        <v>1</v>
      </c>
    </row>
    <row r="1731" spans="1:3" x14ac:dyDescent="0.3">
      <c r="A1731">
        <v>1730</v>
      </c>
      <c r="B1731" s="7">
        <v>636402.32411682943</v>
      </c>
      <c r="C1731">
        <f t="shared" ref="C1731:C1794" si="27">IF(B1731=0,0,1)</f>
        <v>1</v>
      </c>
    </row>
    <row r="1732" spans="1:3" x14ac:dyDescent="0.3">
      <c r="A1732">
        <v>1731</v>
      </c>
      <c r="B1732" s="7">
        <v>9351935.205886038</v>
      </c>
      <c r="C1732">
        <f t="shared" si="27"/>
        <v>1</v>
      </c>
    </row>
    <row r="1733" spans="1:3" x14ac:dyDescent="0.3">
      <c r="A1733">
        <v>1732</v>
      </c>
      <c r="B1733" s="7">
        <v>20883441.004553739</v>
      </c>
      <c r="C1733">
        <f t="shared" si="27"/>
        <v>1</v>
      </c>
    </row>
    <row r="1734" spans="1:3" x14ac:dyDescent="0.3">
      <c r="A1734">
        <v>1733</v>
      </c>
      <c r="B1734" s="7">
        <v>10202200.928225752</v>
      </c>
      <c r="C1734">
        <f t="shared" si="27"/>
        <v>1</v>
      </c>
    </row>
    <row r="1735" spans="1:3" x14ac:dyDescent="0.3">
      <c r="A1735">
        <v>1734</v>
      </c>
      <c r="B1735" s="7">
        <v>2260292.0079468437</v>
      </c>
      <c r="C1735">
        <f t="shared" si="27"/>
        <v>1</v>
      </c>
    </row>
    <row r="1736" spans="1:3" x14ac:dyDescent="0.3">
      <c r="A1736">
        <v>1735</v>
      </c>
      <c r="B1736" s="7">
        <v>5515887.2460773988</v>
      </c>
      <c r="C1736">
        <f t="shared" si="27"/>
        <v>1</v>
      </c>
    </row>
    <row r="1737" spans="1:3" x14ac:dyDescent="0.3">
      <c r="A1737">
        <v>1736</v>
      </c>
      <c r="B1737" s="7">
        <v>10531214.52805035</v>
      </c>
      <c r="C1737">
        <f t="shared" si="27"/>
        <v>1</v>
      </c>
    </row>
    <row r="1738" spans="1:3" x14ac:dyDescent="0.3">
      <c r="A1738">
        <v>1737</v>
      </c>
      <c r="B1738" s="7">
        <v>6097564.108623093</v>
      </c>
      <c r="C1738">
        <f t="shared" si="27"/>
        <v>1</v>
      </c>
    </row>
    <row r="1739" spans="1:3" x14ac:dyDescent="0.3">
      <c r="A1739">
        <v>1738</v>
      </c>
      <c r="B1739" s="7">
        <v>2230273.0424377648</v>
      </c>
      <c r="C1739">
        <f t="shared" si="27"/>
        <v>1</v>
      </c>
    </row>
    <row r="1740" spans="1:3" x14ac:dyDescent="0.3">
      <c r="A1740">
        <v>1739</v>
      </c>
      <c r="B1740" s="7">
        <v>33079308.214995783</v>
      </c>
      <c r="C1740">
        <f t="shared" si="27"/>
        <v>1</v>
      </c>
    </row>
    <row r="1741" spans="1:3" x14ac:dyDescent="0.3">
      <c r="A1741">
        <v>1740</v>
      </c>
      <c r="B1741" s="7">
        <v>3077804.2289265362</v>
      </c>
      <c r="C1741">
        <f t="shared" si="27"/>
        <v>1</v>
      </c>
    </row>
    <row r="1742" spans="1:3" x14ac:dyDescent="0.3">
      <c r="A1742">
        <v>1741</v>
      </c>
      <c r="B1742" s="7">
        <v>7177656.6536248624</v>
      </c>
      <c r="C1742">
        <f t="shared" si="27"/>
        <v>1</v>
      </c>
    </row>
    <row r="1743" spans="1:3" x14ac:dyDescent="0.3">
      <c r="A1743">
        <v>1742</v>
      </c>
      <c r="B1743" s="7">
        <v>9952667.8330715261</v>
      </c>
      <c r="C1743">
        <f t="shared" si="27"/>
        <v>1</v>
      </c>
    </row>
    <row r="1744" spans="1:3" x14ac:dyDescent="0.3">
      <c r="A1744">
        <v>1743</v>
      </c>
      <c r="B1744" s="7">
        <v>4303922.7239162223</v>
      </c>
      <c r="C1744">
        <f t="shared" si="27"/>
        <v>1</v>
      </c>
    </row>
    <row r="1745" spans="1:3" x14ac:dyDescent="0.3">
      <c r="A1745">
        <v>1744</v>
      </c>
      <c r="B1745" s="7">
        <v>2532092.015257623</v>
      </c>
      <c r="C1745">
        <f t="shared" si="27"/>
        <v>1</v>
      </c>
    </row>
    <row r="1746" spans="1:3" x14ac:dyDescent="0.3">
      <c r="A1746">
        <v>1745</v>
      </c>
      <c r="B1746" s="7">
        <v>2953438.1611580239</v>
      </c>
      <c r="C1746">
        <f t="shared" si="27"/>
        <v>1</v>
      </c>
    </row>
    <row r="1747" spans="1:3" x14ac:dyDescent="0.3">
      <c r="A1747">
        <v>1746</v>
      </c>
      <c r="B1747" s="7">
        <v>13050601.846021743</v>
      </c>
      <c r="C1747">
        <f t="shared" si="27"/>
        <v>1</v>
      </c>
    </row>
    <row r="1748" spans="1:3" x14ac:dyDescent="0.3">
      <c r="A1748">
        <v>1747</v>
      </c>
      <c r="B1748" s="7">
        <v>9741461.2743198238</v>
      </c>
      <c r="C1748">
        <f t="shared" si="27"/>
        <v>1</v>
      </c>
    </row>
    <row r="1749" spans="1:3" x14ac:dyDescent="0.3">
      <c r="A1749">
        <v>1748</v>
      </c>
      <c r="B1749" s="7">
        <v>360024.67339051532</v>
      </c>
      <c r="C1749">
        <f t="shared" si="27"/>
        <v>1</v>
      </c>
    </row>
    <row r="1750" spans="1:3" x14ac:dyDescent="0.3">
      <c r="A1750">
        <v>1749</v>
      </c>
      <c r="B1750" s="7">
        <v>1861266.0378119783</v>
      </c>
      <c r="C1750">
        <f t="shared" si="27"/>
        <v>1</v>
      </c>
    </row>
    <row r="1751" spans="1:3" x14ac:dyDescent="0.3">
      <c r="A1751">
        <v>1750</v>
      </c>
      <c r="B1751" s="7">
        <v>2529324.3520488464</v>
      </c>
      <c r="C1751">
        <f t="shared" si="27"/>
        <v>1</v>
      </c>
    </row>
    <row r="1752" spans="1:3" x14ac:dyDescent="0.3">
      <c r="A1752">
        <v>1751</v>
      </c>
      <c r="B1752" s="7">
        <v>4303176.3017240725</v>
      </c>
      <c r="C1752">
        <f t="shared" si="27"/>
        <v>1</v>
      </c>
    </row>
    <row r="1753" spans="1:3" x14ac:dyDescent="0.3">
      <c r="A1753">
        <v>1752</v>
      </c>
      <c r="B1753" s="7">
        <v>9265449.7276764642</v>
      </c>
      <c r="C1753">
        <f t="shared" si="27"/>
        <v>1</v>
      </c>
    </row>
    <row r="1754" spans="1:3" x14ac:dyDescent="0.3">
      <c r="A1754">
        <v>1753</v>
      </c>
      <c r="B1754" s="7">
        <v>13580432.594160086</v>
      </c>
      <c r="C1754">
        <f t="shared" si="27"/>
        <v>1</v>
      </c>
    </row>
    <row r="1755" spans="1:3" x14ac:dyDescent="0.3">
      <c r="A1755">
        <v>1754</v>
      </c>
      <c r="B1755" s="7">
        <v>8984241.4239462111</v>
      </c>
      <c r="C1755">
        <f t="shared" si="27"/>
        <v>1</v>
      </c>
    </row>
    <row r="1756" spans="1:3" x14ac:dyDescent="0.3">
      <c r="A1756">
        <v>1755</v>
      </c>
      <c r="B1756" s="7">
        <v>6053062.9761357643</v>
      </c>
      <c r="C1756">
        <f t="shared" si="27"/>
        <v>1</v>
      </c>
    </row>
    <row r="1757" spans="1:3" x14ac:dyDescent="0.3">
      <c r="A1757">
        <v>1756</v>
      </c>
      <c r="B1757" s="7">
        <v>6270682.9309552712</v>
      </c>
      <c r="C1757">
        <f t="shared" si="27"/>
        <v>1</v>
      </c>
    </row>
    <row r="1758" spans="1:3" x14ac:dyDescent="0.3">
      <c r="A1758">
        <v>1757</v>
      </c>
      <c r="B1758" s="7">
        <v>1917489.2931983951</v>
      </c>
      <c r="C1758">
        <f t="shared" si="27"/>
        <v>1</v>
      </c>
    </row>
    <row r="1759" spans="1:3" x14ac:dyDescent="0.3">
      <c r="A1759">
        <v>1758</v>
      </c>
      <c r="B1759" s="7">
        <v>9104201.556633953</v>
      </c>
      <c r="C1759">
        <f t="shared" si="27"/>
        <v>1</v>
      </c>
    </row>
    <row r="1760" spans="1:3" x14ac:dyDescent="0.3">
      <c r="A1760">
        <v>1759</v>
      </c>
      <c r="B1760" s="7">
        <v>1150898.8754346324</v>
      </c>
      <c r="C1760">
        <f t="shared" si="27"/>
        <v>1</v>
      </c>
    </row>
    <row r="1761" spans="1:3" x14ac:dyDescent="0.3">
      <c r="A1761">
        <v>1760</v>
      </c>
      <c r="B1761" s="7">
        <v>2181998.9028610345</v>
      </c>
      <c r="C1761">
        <f t="shared" si="27"/>
        <v>1</v>
      </c>
    </row>
    <row r="1762" spans="1:3" x14ac:dyDescent="0.3">
      <c r="A1762">
        <v>1761</v>
      </c>
      <c r="B1762" s="7">
        <v>10014740.419016028</v>
      </c>
      <c r="C1762">
        <f t="shared" si="27"/>
        <v>1</v>
      </c>
    </row>
    <row r="1763" spans="1:3" x14ac:dyDescent="0.3">
      <c r="A1763">
        <v>1762</v>
      </c>
      <c r="B1763" s="7">
        <v>4692894.2864045342</v>
      </c>
      <c r="C1763">
        <f t="shared" si="27"/>
        <v>1</v>
      </c>
    </row>
    <row r="1764" spans="1:3" x14ac:dyDescent="0.3">
      <c r="A1764">
        <v>1763</v>
      </c>
      <c r="B1764" s="7">
        <v>15138109.851586848</v>
      </c>
      <c r="C1764">
        <f t="shared" si="27"/>
        <v>1</v>
      </c>
    </row>
    <row r="1765" spans="1:3" x14ac:dyDescent="0.3">
      <c r="A1765">
        <v>1764</v>
      </c>
      <c r="B1765" s="7">
        <v>3731212.7855342096</v>
      </c>
      <c r="C1765">
        <f t="shared" si="27"/>
        <v>1</v>
      </c>
    </row>
    <row r="1766" spans="1:3" x14ac:dyDescent="0.3">
      <c r="A1766">
        <v>1765</v>
      </c>
      <c r="B1766" s="7">
        <v>5018574.2267285772</v>
      </c>
      <c r="C1766">
        <f t="shared" si="27"/>
        <v>1</v>
      </c>
    </row>
    <row r="1767" spans="1:3" x14ac:dyDescent="0.3">
      <c r="A1767">
        <v>1766</v>
      </c>
      <c r="B1767" s="7">
        <v>489225.39366758481</v>
      </c>
      <c r="C1767">
        <f t="shared" si="27"/>
        <v>1</v>
      </c>
    </row>
    <row r="1768" spans="1:3" x14ac:dyDescent="0.3">
      <c r="A1768">
        <v>1767</v>
      </c>
      <c r="B1768" s="7">
        <v>5441542.7022855254</v>
      </c>
      <c r="C1768">
        <f t="shared" si="27"/>
        <v>1</v>
      </c>
    </row>
    <row r="1769" spans="1:3" x14ac:dyDescent="0.3">
      <c r="A1769">
        <v>1768</v>
      </c>
      <c r="B1769" s="7">
        <v>6707366.159947006</v>
      </c>
      <c r="C1769">
        <f t="shared" si="27"/>
        <v>1</v>
      </c>
    </row>
    <row r="1770" spans="1:3" x14ac:dyDescent="0.3">
      <c r="A1770">
        <v>1769</v>
      </c>
      <c r="B1770" s="7">
        <v>7875389.8909066468</v>
      </c>
      <c r="C1770">
        <f t="shared" si="27"/>
        <v>1</v>
      </c>
    </row>
    <row r="1771" spans="1:3" x14ac:dyDescent="0.3">
      <c r="A1771">
        <v>1770</v>
      </c>
      <c r="B1771" s="7">
        <v>4637275.5497561526</v>
      </c>
      <c r="C1771">
        <f t="shared" si="27"/>
        <v>1</v>
      </c>
    </row>
    <row r="1772" spans="1:3" x14ac:dyDescent="0.3">
      <c r="A1772">
        <v>1771</v>
      </c>
      <c r="B1772" s="7">
        <v>2142325.4453260782</v>
      </c>
      <c r="C1772">
        <f t="shared" si="27"/>
        <v>1</v>
      </c>
    </row>
    <row r="1773" spans="1:3" x14ac:dyDescent="0.3">
      <c r="A1773">
        <v>1772</v>
      </c>
      <c r="B1773" s="7">
        <v>11631057.746257678</v>
      </c>
      <c r="C1773">
        <f t="shared" si="27"/>
        <v>1</v>
      </c>
    </row>
    <row r="1774" spans="1:3" x14ac:dyDescent="0.3">
      <c r="A1774">
        <v>1773</v>
      </c>
      <c r="B1774" s="7">
        <v>13658832.459083695</v>
      </c>
      <c r="C1774">
        <f t="shared" si="27"/>
        <v>1</v>
      </c>
    </row>
    <row r="1775" spans="1:3" x14ac:dyDescent="0.3">
      <c r="A1775">
        <v>1774</v>
      </c>
      <c r="B1775" s="7">
        <v>10150725.978514656</v>
      </c>
      <c r="C1775">
        <f t="shared" si="27"/>
        <v>1</v>
      </c>
    </row>
    <row r="1776" spans="1:3" x14ac:dyDescent="0.3">
      <c r="A1776">
        <v>1775</v>
      </c>
      <c r="B1776" s="7">
        <v>8983440.3262257501</v>
      </c>
      <c r="C1776">
        <f t="shared" si="27"/>
        <v>1</v>
      </c>
    </row>
    <row r="1777" spans="1:3" x14ac:dyDescent="0.3">
      <c r="A1777">
        <v>1776</v>
      </c>
      <c r="B1777" s="7">
        <v>2369522.2652025227</v>
      </c>
      <c r="C1777">
        <f t="shared" si="27"/>
        <v>1</v>
      </c>
    </row>
    <row r="1778" spans="1:3" x14ac:dyDescent="0.3">
      <c r="A1778">
        <v>1777</v>
      </c>
      <c r="B1778" s="7">
        <v>0</v>
      </c>
      <c r="C1778">
        <f t="shared" si="27"/>
        <v>0</v>
      </c>
    </row>
    <row r="1779" spans="1:3" x14ac:dyDescent="0.3">
      <c r="A1779">
        <v>1778</v>
      </c>
      <c r="B1779" s="7">
        <v>4715477.0656750575</v>
      </c>
      <c r="C1779">
        <f t="shared" si="27"/>
        <v>1</v>
      </c>
    </row>
    <row r="1780" spans="1:3" x14ac:dyDescent="0.3">
      <c r="A1780">
        <v>1779</v>
      </c>
      <c r="B1780" s="7">
        <v>2874816.4794540694</v>
      </c>
      <c r="C1780">
        <f t="shared" si="27"/>
        <v>1</v>
      </c>
    </row>
    <row r="1781" spans="1:3" x14ac:dyDescent="0.3">
      <c r="A1781">
        <v>1780</v>
      </c>
      <c r="B1781" s="7">
        <v>7389631.5823492389</v>
      </c>
      <c r="C1781">
        <f t="shared" si="27"/>
        <v>1</v>
      </c>
    </row>
    <row r="1782" spans="1:3" x14ac:dyDescent="0.3">
      <c r="A1782">
        <v>1781</v>
      </c>
      <c r="B1782" s="7">
        <v>5184692.4349398855</v>
      </c>
      <c r="C1782">
        <f t="shared" si="27"/>
        <v>1</v>
      </c>
    </row>
    <row r="1783" spans="1:3" x14ac:dyDescent="0.3">
      <c r="A1783">
        <v>1782</v>
      </c>
      <c r="B1783" s="7">
        <v>4672744.6394957593</v>
      </c>
      <c r="C1783">
        <f t="shared" si="27"/>
        <v>1</v>
      </c>
    </row>
    <row r="1784" spans="1:3" x14ac:dyDescent="0.3">
      <c r="A1784">
        <v>1783</v>
      </c>
      <c r="B1784" s="7">
        <v>0</v>
      </c>
      <c r="C1784">
        <f t="shared" si="27"/>
        <v>0</v>
      </c>
    </row>
    <row r="1785" spans="1:3" x14ac:dyDescent="0.3">
      <c r="A1785">
        <v>1784</v>
      </c>
      <c r="B1785" s="7">
        <v>5495107.5711438619</v>
      </c>
      <c r="C1785">
        <f t="shared" si="27"/>
        <v>1</v>
      </c>
    </row>
    <row r="1786" spans="1:3" x14ac:dyDescent="0.3">
      <c r="A1786">
        <v>1785</v>
      </c>
      <c r="B1786" s="7">
        <v>5853508.2293069949</v>
      </c>
      <c r="C1786">
        <f t="shared" si="27"/>
        <v>1</v>
      </c>
    </row>
    <row r="1787" spans="1:3" x14ac:dyDescent="0.3">
      <c r="A1787">
        <v>1786</v>
      </c>
      <c r="B1787" s="7">
        <v>3844957.3934592404</v>
      </c>
      <c r="C1787">
        <f t="shared" si="27"/>
        <v>1</v>
      </c>
    </row>
    <row r="1788" spans="1:3" x14ac:dyDescent="0.3">
      <c r="A1788">
        <v>1787</v>
      </c>
      <c r="B1788" s="7">
        <v>11701849.264529269</v>
      </c>
      <c r="C1788">
        <f t="shared" si="27"/>
        <v>1</v>
      </c>
    </row>
    <row r="1789" spans="1:3" x14ac:dyDescent="0.3">
      <c r="A1789">
        <v>1788</v>
      </c>
      <c r="B1789" s="7">
        <v>4140443.8812457779</v>
      </c>
      <c r="C1789">
        <f t="shared" si="27"/>
        <v>1</v>
      </c>
    </row>
    <row r="1790" spans="1:3" x14ac:dyDescent="0.3">
      <c r="A1790">
        <v>1789</v>
      </c>
      <c r="B1790" s="7">
        <v>2540473.4958083774</v>
      </c>
      <c r="C1790">
        <f t="shared" si="27"/>
        <v>1</v>
      </c>
    </row>
    <row r="1791" spans="1:3" x14ac:dyDescent="0.3">
      <c r="A1791">
        <v>1790</v>
      </c>
      <c r="B1791" s="7">
        <v>6619513.0674902489</v>
      </c>
      <c r="C1791">
        <f t="shared" si="27"/>
        <v>1</v>
      </c>
    </row>
    <row r="1792" spans="1:3" x14ac:dyDescent="0.3">
      <c r="A1792">
        <v>1791</v>
      </c>
      <c r="B1792" s="7">
        <v>9493581.5785170216</v>
      </c>
      <c r="C1792">
        <f t="shared" si="27"/>
        <v>1</v>
      </c>
    </row>
    <row r="1793" spans="1:3" x14ac:dyDescent="0.3">
      <c r="A1793">
        <v>1792</v>
      </c>
      <c r="B1793" s="7">
        <v>5309487.7962175794</v>
      </c>
      <c r="C1793">
        <f t="shared" si="27"/>
        <v>1</v>
      </c>
    </row>
    <row r="1794" spans="1:3" x14ac:dyDescent="0.3">
      <c r="A1794">
        <v>1793</v>
      </c>
      <c r="B1794" s="7">
        <v>2159435.1551667578</v>
      </c>
      <c r="C1794">
        <f t="shared" si="27"/>
        <v>1</v>
      </c>
    </row>
    <row r="1795" spans="1:3" x14ac:dyDescent="0.3">
      <c r="A1795">
        <v>1794</v>
      </c>
      <c r="B1795" s="7">
        <v>1630419.2639628432</v>
      </c>
      <c r="C1795">
        <f t="shared" ref="C1795:C1858" si="28">IF(B1795=0,0,1)</f>
        <v>1</v>
      </c>
    </row>
    <row r="1796" spans="1:3" x14ac:dyDescent="0.3">
      <c r="A1796">
        <v>1795</v>
      </c>
      <c r="B1796" s="7">
        <v>6216420.0177020561</v>
      </c>
      <c r="C1796">
        <f t="shared" si="28"/>
        <v>1</v>
      </c>
    </row>
    <row r="1797" spans="1:3" x14ac:dyDescent="0.3">
      <c r="A1797">
        <v>1796</v>
      </c>
      <c r="B1797" s="7">
        <v>1065134.1148319039</v>
      </c>
      <c r="C1797">
        <f t="shared" si="28"/>
        <v>1</v>
      </c>
    </row>
    <row r="1798" spans="1:3" x14ac:dyDescent="0.3">
      <c r="A1798">
        <v>1797</v>
      </c>
      <c r="B1798" s="7">
        <v>0</v>
      </c>
      <c r="C1798">
        <f t="shared" si="28"/>
        <v>0</v>
      </c>
    </row>
    <row r="1799" spans="1:3" x14ac:dyDescent="0.3">
      <c r="A1799">
        <v>1798</v>
      </c>
      <c r="B1799" s="7">
        <v>3022717.4304176765</v>
      </c>
      <c r="C1799">
        <f t="shared" si="28"/>
        <v>1</v>
      </c>
    </row>
    <row r="1800" spans="1:3" x14ac:dyDescent="0.3">
      <c r="A1800">
        <v>1799</v>
      </c>
      <c r="B1800" s="7">
        <v>9871225.7452624701</v>
      </c>
      <c r="C1800">
        <f t="shared" si="28"/>
        <v>1</v>
      </c>
    </row>
    <row r="1801" spans="1:3" x14ac:dyDescent="0.3">
      <c r="A1801">
        <v>1800</v>
      </c>
      <c r="B1801" s="7">
        <v>7409259.7529400922</v>
      </c>
      <c r="C1801">
        <f t="shared" si="28"/>
        <v>1</v>
      </c>
    </row>
    <row r="1802" spans="1:3" x14ac:dyDescent="0.3">
      <c r="A1802">
        <v>1801</v>
      </c>
      <c r="B1802" s="7">
        <v>20155897.516680859</v>
      </c>
      <c r="C1802">
        <f t="shared" si="28"/>
        <v>1</v>
      </c>
    </row>
    <row r="1803" spans="1:3" x14ac:dyDescent="0.3">
      <c r="A1803">
        <v>1802</v>
      </c>
      <c r="B1803" s="7">
        <v>3157757.8494377122</v>
      </c>
      <c r="C1803">
        <f t="shared" si="28"/>
        <v>1</v>
      </c>
    </row>
    <row r="1804" spans="1:3" x14ac:dyDescent="0.3">
      <c r="A1804">
        <v>1803</v>
      </c>
      <c r="B1804" s="7">
        <v>2900446.6298680482</v>
      </c>
      <c r="C1804">
        <f t="shared" si="28"/>
        <v>1</v>
      </c>
    </row>
    <row r="1805" spans="1:3" x14ac:dyDescent="0.3">
      <c r="A1805">
        <v>1804</v>
      </c>
      <c r="B1805" s="7">
        <v>8348215.1203655256</v>
      </c>
      <c r="C1805">
        <f t="shared" si="28"/>
        <v>1</v>
      </c>
    </row>
    <row r="1806" spans="1:3" x14ac:dyDescent="0.3">
      <c r="A1806">
        <v>1805</v>
      </c>
      <c r="B1806" s="7">
        <v>7419318.7338468777</v>
      </c>
      <c r="C1806">
        <f t="shared" si="28"/>
        <v>1</v>
      </c>
    </row>
    <row r="1807" spans="1:3" x14ac:dyDescent="0.3">
      <c r="A1807">
        <v>1806</v>
      </c>
      <c r="B1807" s="7">
        <v>4988760.2157355379</v>
      </c>
      <c r="C1807">
        <f t="shared" si="28"/>
        <v>1</v>
      </c>
    </row>
    <row r="1808" spans="1:3" x14ac:dyDescent="0.3">
      <c r="A1808">
        <v>1807</v>
      </c>
      <c r="B1808" s="7">
        <v>5976280.9096613564</v>
      </c>
      <c r="C1808">
        <f t="shared" si="28"/>
        <v>1</v>
      </c>
    </row>
    <row r="1809" spans="1:3" x14ac:dyDescent="0.3">
      <c r="A1809">
        <v>1808</v>
      </c>
      <c r="B1809" s="7">
        <v>4721946.6575804949</v>
      </c>
      <c r="C1809">
        <f t="shared" si="28"/>
        <v>1</v>
      </c>
    </row>
    <row r="1810" spans="1:3" x14ac:dyDescent="0.3">
      <c r="A1810">
        <v>1809</v>
      </c>
      <c r="B1810" s="7">
        <v>7052511.9972607912</v>
      </c>
      <c r="C1810">
        <f t="shared" si="28"/>
        <v>1</v>
      </c>
    </row>
    <row r="1811" spans="1:3" x14ac:dyDescent="0.3">
      <c r="A1811">
        <v>1810</v>
      </c>
      <c r="B1811" s="7">
        <v>2207093.1893113833</v>
      </c>
      <c r="C1811">
        <f t="shared" si="28"/>
        <v>1</v>
      </c>
    </row>
    <row r="1812" spans="1:3" x14ac:dyDescent="0.3">
      <c r="A1812">
        <v>1811</v>
      </c>
      <c r="B1812" s="7">
        <v>4290945.8296743669</v>
      </c>
      <c r="C1812">
        <f t="shared" si="28"/>
        <v>1</v>
      </c>
    </row>
    <row r="1813" spans="1:3" x14ac:dyDescent="0.3">
      <c r="A1813">
        <v>1812</v>
      </c>
      <c r="B1813" s="7">
        <v>11713786.472531309</v>
      </c>
      <c r="C1813">
        <f t="shared" si="28"/>
        <v>1</v>
      </c>
    </row>
    <row r="1814" spans="1:3" x14ac:dyDescent="0.3">
      <c r="A1814">
        <v>1813</v>
      </c>
      <c r="B1814" s="7">
        <v>14278607.392578382</v>
      </c>
      <c r="C1814">
        <f t="shared" si="28"/>
        <v>1</v>
      </c>
    </row>
    <row r="1815" spans="1:3" x14ac:dyDescent="0.3">
      <c r="A1815">
        <v>1814</v>
      </c>
      <c r="B1815" s="7">
        <v>5110589.453873422</v>
      </c>
      <c r="C1815">
        <f t="shared" si="28"/>
        <v>1</v>
      </c>
    </row>
    <row r="1816" spans="1:3" x14ac:dyDescent="0.3">
      <c r="A1816">
        <v>1815</v>
      </c>
      <c r="B1816" s="7">
        <v>2217910.4682358149</v>
      </c>
      <c r="C1816">
        <f t="shared" si="28"/>
        <v>1</v>
      </c>
    </row>
    <row r="1817" spans="1:3" x14ac:dyDescent="0.3">
      <c r="A1817">
        <v>1816</v>
      </c>
      <c r="B1817" s="7">
        <v>15644305.623457476</v>
      </c>
      <c r="C1817">
        <f t="shared" si="28"/>
        <v>1</v>
      </c>
    </row>
    <row r="1818" spans="1:3" x14ac:dyDescent="0.3">
      <c r="A1818">
        <v>1817</v>
      </c>
      <c r="B1818" s="7">
        <v>1074344.6685660863</v>
      </c>
      <c r="C1818">
        <f t="shared" si="28"/>
        <v>1</v>
      </c>
    </row>
    <row r="1819" spans="1:3" x14ac:dyDescent="0.3">
      <c r="A1819">
        <v>1818</v>
      </c>
      <c r="B1819" s="7">
        <v>4768483.7579504848</v>
      </c>
      <c r="C1819">
        <f t="shared" si="28"/>
        <v>1</v>
      </c>
    </row>
    <row r="1820" spans="1:3" x14ac:dyDescent="0.3">
      <c r="A1820">
        <v>1819</v>
      </c>
      <c r="B1820" s="7">
        <v>4998450.6645013783</v>
      </c>
      <c r="C1820">
        <f t="shared" si="28"/>
        <v>1</v>
      </c>
    </row>
    <row r="1821" spans="1:3" x14ac:dyDescent="0.3">
      <c r="A1821">
        <v>1820</v>
      </c>
      <c r="B1821" s="7">
        <v>1460993.2689538752</v>
      </c>
      <c r="C1821">
        <f t="shared" si="28"/>
        <v>1</v>
      </c>
    </row>
    <row r="1822" spans="1:3" x14ac:dyDescent="0.3">
      <c r="A1822">
        <v>1821</v>
      </c>
      <c r="B1822" s="7">
        <v>1924530.8947050865</v>
      </c>
      <c r="C1822">
        <f t="shared" si="28"/>
        <v>1</v>
      </c>
    </row>
    <row r="1823" spans="1:3" x14ac:dyDescent="0.3">
      <c r="A1823">
        <v>1822</v>
      </c>
      <c r="B1823" s="7">
        <v>4305103.5833265129</v>
      </c>
      <c r="C1823">
        <f t="shared" si="28"/>
        <v>1</v>
      </c>
    </row>
    <row r="1824" spans="1:3" x14ac:dyDescent="0.3">
      <c r="A1824">
        <v>1823</v>
      </c>
      <c r="B1824" s="7">
        <v>4843409.075336799</v>
      </c>
      <c r="C1824">
        <f t="shared" si="28"/>
        <v>1</v>
      </c>
    </row>
    <row r="1825" spans="1:3" x14ac:dyDescent="0.3">
      <c r="A1825">
        <v>1824</v>
      </c>
      <c r="B1825" s="7">
        <v>5459019.3678673971</v>
      </c>
      <c r="C1825">
        <f t="shared" si="28"/>
        <v>1</v>
      </c>
    </row>
    <row r="1826" spans="1:3" x14ac:dyDescent="0.3">
      <c r="A1826">
        <v>1825</v>
      </c>
      <c r="B1826" s="7">
        <v>3918803.6506422106</v>
      </c>
      <c r="C1826">
        <f t="shared" si="28"/>
        <v>1</v>
      </c>
    </row>
    <row r="1827" spans="1:3" x14ac:dyDescent="0.3">
      <c r="A1827">
        <v>1826</v>
      </c>
      <c r="B1827" s="7">
        <v>2292442.5079578366</v>
      </c>
      <c r="C1827">
        <f t="shared" si="28"/>
        <v>1</v>
      </c>
    </row>
    <row r="1828" spans="1:3" x14ac:dyDescent="0.3">
      <c r="A1828">
        <v>1827</v>
      </c>
      <c r="B1828" s="7">
        <v>1425914.8218453343</v>
      </c>
      <c r="C1828">
        <f t="shared" si="28"/>
        <v>1</v>
      </c>
    </row>
    <row r="1829" spans="1:3" x14ac:dyDescent="0.3">
      <c r="A1829">
        <v>1828</v>
      </c>
      <c r="B1829" s="7">
        <v>11746332.955912298</v>
      </c>
      <c r="C1829">
        <f t="shared" si="28"/>
        <v>1</v>
      </c>
    </row>
    <row r="1830" spans="1:3" x14ac:dyDescent="0.3">
      <c r="A1830">
        <v>1829</v>
      </c>
      <c r="B1830" s="7">
        <v>5259651.8490569964</v>
      </c>
      <c r="C1830">
        <f t="shared" si="28"/>
        <v>1</v>
      </c>
    </row>
    <row r="1831" spans="1:3" x14ac:dyDescent="0.3">
      <c r="A1831">
        <v>1830</v>
      </c>
      <c r="B1831" s="7">
        <v>4728325.8948159181</v>
      </c>
      <c r="C1831">
        <f t="shared" si="28"/>
        <v>1</v>
      </c>
    </row>
    <row r="1832" spans="1:3" x14ac:dyDescent="0.3">
      <c r="A1832">
        <v>1831</v>
      </c>
      <c r="B1832" s="7">
        <v>7565207.3768671807</v>
      </c>
      <c r="C1832">
        <f t="shared" si="28"/>
        <v>1</v>
      </c>
    </row>
    <row r="1833" spans="1:3" x14ac:dyDescent="0.3">
      <c r="A1833">
        <v>1832</v>
      </c>
      <c r="B1833" s="7">
        <v>4739577.4667596743</v>
      </c>
      <c r="C1833">
        <f t="shared" si="28"/>
        <v>1</v>
      </c>
    </row>
    <row r="1834" spans="1:3" x14ac:dyDescent="0.3">
      <c r="A1834">
        <v>1833</v>
      </c>
      <c r="B1834" s="7">
        <v>6460639.4081554525</v>
      </c>
      <c r="C1834">
        <f t="shared" si="28"/>
        <v>1</v>
      </c>
    </row>
    <row r="1835" spans="1:3" x14ac:dyDescent="0.3">
      <c r="A1835">
        <v>1834</v>
      </c>
      <c r="B1835" s="7">
        <v>15563771.879226631</v>
      </c>
      <c r="C1835">
        <f t="shared" si="28"/>
        <v>1</v>
      </c>
    </row>
    <row r="1836" spans="1:3" x14ac:dyDescent="0.3">
      <c r="A1836">
        <v>1835</v>
      </c>
      <c r="B1836" s="7">
        <v>5334767.520943094</v>
      </c>
      <c r="C1836">
        <f t="shared" si="28"/>
        <v>1</v>
      </c>
    </row>
    <row r="1837" spans="1:3" x14ac:dyDescent="0.3">
      <c r="A1837">
        <v>1836</v>
      </c>
      <c r="B1837" s="7">
        <v>5781760.9047758589</v>
      </c>
      <c r="C1837">
        <f t="shared" si="28"/>
        <v>1</v>
      </c>
    </row>
    <row r="1838" spans="1:3" x14ac:dyDescent="0.3">
      <c r="A1838">
        <v>1837</v>
      </c>
      <c r="B1838" s="7">
        <v>4453029.7301566368</v>
      </c>
      <c r="C1838">
        <f t="shared" si="28"/>
        <v>1</v>
      </c>
    </row>
    <row r="1839" spans="1:3" x14ac:dyDescent="0.3">
      <c r="A1839">
        <v>1838</v>
      </c>
      <c r="B1839" s="7">
        <v>2370559.5634738053</v>
      </c>
      <c r="C1839">
        <f t="shared" si="28"/>
        <v>1</v>
      </c>
    </row>
    <row r="1840" spans="1:3" x14ac:dyDescent="0.3">
      <c r="A1840">
        <v>1839</v>
      </c>
      <c r="B1840" s="7">
        <v>9170332.1101794019</v>
      </c>
      <c r="C1840">
        <f t="shared" si="28"/>
        <v>1</v>
      </c>
    </row>
    <row r="1841" spans="1:3" x14ac:dyDescent="0.3">
      <c r="A1841">
        <v>1840</v>
      </c>
      <c r="B1841" s="7">
        <v>12379785.395159811</v>
      </c>
      <c r="C1841">
        <f t="shared" si="28"/>
        <v>1</v>
      </c>
    </row>
    <row r="1842" spans="1:3" x14ac:dyDescent="0.3">
      <c r="A1842">
        <v>1841</v>
      </c>
      <c r="B1842" s="7">
        <v>1795180.7889225057</v>
      </c>
      <c r="C1842">
        <f t="shared" si="28"/>
        <v>1</v>
      </c>
    </row>
    <row r="1843" spans="1:3" x14ac:dyDescent="0.3">
      <c r="A1843">
        <v>1842</v>
      </c>
      <c r="B1843" s="7">
        <v>9489590.5821320377</v>
      </c>
      <c r="C1843">
        <f t="shared" si="28"/>
        <v>1</v>
      </c>
    </row>
    <row r="1844" spans="1:3" x14ac:dyDescent="0.3">
      <c r="A1844">
        <v>1843</v>
      </c>
      <c r="B1844" s="7">
        <v>4268383.4181840532</v>
      </c>
      <c r="C1844">
        <f t="shared" si="28"/>
        <v>1</v>
      </c>
    </row>
    <row r="1845" spans="1:3" x14ac:dyDescent="0.3">
      <c r="A1845">
        <v>1844</v>
      </c>
      <c r="B1845" s="7">
        <v>10167981.139458753</v>
      </c>
      <c r="C1845">
        <f t="shared" si="28"/>
        <v>1</v>
      </c>
    </row>
    <row r="1846" spans="1:3" x14ac:dyDescent="0.3">
      <c r="A1846">
        <v>1845</v>
      </c>
      <c r="B1846" s="7">
        <v>1713612.1815207272</v>
      </c>
      <c r="C1846">
        <f t="shared" si="28"/>
        <v>1</v>
      </c>
    </row>
    <row r="1847" spans="1:3" x14ac:dyDescent="0.3">
      <c r="A1847">
        <v>1846</v>
      </c>
      <c r="B1847" s="7">
        <v>1960959.6266568264</v>
      </c>
      <c r="C1847">
        <f t="shared" si="28"/>
        <v>1</v>
      </c>
    </row>
    <row r="1848" spans="1:3" x14ac:dyDescent="0.3">
      <c r="A1848">
        <v>1847</v>
      </c>
      <c r="B1848" s="7">
        <v>18316572.643682856</v>
      </c>
      <c r="C1848">
        <f t="shared" si="28"/>
        <v>1</v>
      </c>
    </row>
    <row r="1849" spans="1:3" x14ac:dyDescent="0.3">
      <c r="A1849">
        <v>1848</v>
      </c>
      <c r="B1849" s="7">
        <v>8230467.0047621038</v>
      </c>
      <c r="C1849">
        <f t="shared" si="28"/>
        <v>1</v>
      </c>
    </row>
    <row r="1850" spans="1:3" x14ac:dyDescent="0.3">
      <c r="A1850">
        <v>1849</v>
      </c>
      <c r="B1850" s="7">
        <v>1495083.2220182654</v>
      </c>
      <c r="C1850">
        <f t="shared" si="28"/>
        <v>1</v>
      </c>
    </row>
    <row r="1851" spans="1:3" x14ac:dyDescent="0.3">
      <c r="A1851">
        <v>1850</v>
      </c>
      <c r="B1851" s="7">
        <v>8565887.1079612579</v>
      </c>
      <c r="C1851">
        <f t="shared" si="28"/>
        <v>1</v>
      </c>
    </row>
    <row r="1852" spans="1:3" x14ac:dyDescent="0.3">
      <c r="A1852">
        <v>1851</v>
      </c>
      <c r="B1852" s="7">
        <v>4722469.7635558732</v>
      </c>
      <c r="C1852">
        <f t="shared" si="28"/>
        <v>1</v>
      </c>
    </row>
    <row r="1853" spans="1:3" x14ac:dyDescent="0.3">
      <c r="A1853">
        <v>1852</v>
      </c>
      <c r="B1853" s="7">
        <v>1082297.753711333</v>
      </c>
      <c r="C1853">
        <f t="shared" si="28"/>
        <v>1</v>
      </c>
    </row>
    <row r="1854" spans="1:3" x14ac:dyDescent="0.3">
      <c r="A1854">
        <v>1853</v>
      </c>
      <c r="B1854" s="7">
        <v>3287056.7223653733</v>
      </c>
      <c r="C1854">
        <f t="shared" si="28"/>
        <v>1</v>
      </c>
    </row>
    <row r="1855" spans="1:3" x14ac:dyDescent="0.3">
      <c r="A1855">
        <v>1854</v>
      </c>
      <c r="B1855" s="7">
        <v>11136831.019845154</v>
      </c>
      <c r="C1855">
        <f t="shared" si="28"/>
        <v>1</v>
      </c>
    </row>
    <row r="1856" spans="1:3" x14ac:dyDescent="0.3">
      <c r="A1856">
        <v>1855</v>
      </c>
      <c r="B1856" s="7">
        <v>2710917.8375236494</v>
      </c>
      <c r="C1856">
        <f t="shared" si="28"/>
        <v>1</v>
      </c>
    </row>
    <row r="1857" spans="1:3" x14ac:dyDescent="0.3">
      <c r="A1857">
        <v>1856</v>
      </c>
      <c r="B1857" s="7">
        <v>2873611.338571222</v>
      </c>
      <c r="C1857">
        <f t="shared" si="28"/>
        <v>1</v>
      </c>
    </row>
    <row r="1858" spans="1:3" x14ac:dyDescent="0.3">
      <c r="A1858">
        <v>1857</v>
      </c>
      <c r="B1858" s="7">
        <v>8232770.4678321369</v>
      </c>
      <c r="C1858">
        <f t="shared" si="28"/>
        <v>1</v>
      </c>
    </row>
    <row r="1859" spans="1:3" x14ac:dyDescent="0.3">
      <c r="A1859">
        <v>1858</v>
      </c>
      <c r="B1859" s="7">
        <v>7505503.6937643029</v>
      </c>
      <c r="C1859">
        <f t="shared" ref="C1859:C1922" si="29">IF(B1859=0,0,1)</f>
        <v>1</v>
      </c>
    </row>
    <row r="1860" spans="1:3" x14ac:dyDescent="0.3">
      <c r="A1860">
        <v>1859</v>
      </c>
      <c r="B1860" s="7">
        <v>494540.32491451775</v>
      </c>
      <c r="C1860">
        <f t="shared" si="29"/>
        <v>1</v>
      </c>
    </row>
    <row r="1861" spans="1:3" x14ac:dyDescent="0.3">
      <c r="A1861">
        <v>1860</v>
      </c>
      <c r="B1861" s="7">
        <v>6518077.8260613903</v>
      </c>
      <c r="C1861">
        <f t="shared" si="29"/>
        <v>1</v>
      </c>
    </row>
    <row r="1862" spans="1:3" x14ac:dyDescent="0.3">
      <c r="A1862">
        <v>1861</v>
      </c>
      <c r="B1862" s="7">
        <v>6086742.8073295811</v>
      </c>
      <c r="C1862">
        <f t="shared" si="29"/>
        <v>1</v>
      </c>
    </row>
    <row r="1863" spans="1:3" x14ac:dyDescent="0.3">
      <c r="A1863">
        <v>1862</v>
      </c>
      <c r="B1863" s="7">
        <v>8009963.2940752413</v>
      </c>
      <c r="C1863">
        <f t="shared" si="29"/>
        <v>1</v>
      </c>
    </row>
    <row r="1864" spans="1:3" x14ac:dyDescent="0.3">
      <c r="A1864">
        <v>1863</v>
      </c>
      <c r="B1864" s="7">
        <v>8917756.3669498246</v>
      </c>
      <c r="C1864">
        <f t="shared" si="29"/>
        <v>1</v>
      </c>
    </row>
    <row r="1865" spans="1:3" x14ac:dyDescent="0.3">
      <c r="A1865">
        <v>1864</v>
      </c>
      <c r="B1865" s="7">
        <v>2679264.9178797794</v>
      </c>
      <c r="C1865">
        <f t="shared" si="29"/>
        <v>1</v>
      </c>
    </row>
    <row r="1866" spans="1:3" x14ac:dyDescent="0.3">
      <c r="A1866">
        <v>1865</v>
      </c>
      <c r="B1866" s="7">
        <v>13374572.478834147</v>
      </c>
      <c r="C1866">
        <f t="shared" si="29"/>
        <v>1</v>
      </c>
    </row>
    <row r="1867" spans="1:3" x14ac:dyDescent="0.3">
      <c r="A1867">
        <v>1866</v>
      </c>
      <c r="B1867" s="7">
        <v>5696418.697194485</v>
      </c>
      <c r="C1867">
        <f t="shared" si="29"/>
        <v>1</v>
      </c>
    </row>
    <row r="1868" spans="1:3" x14ac:dyDescent="0.3">
      <c r="A1868">
        <v>1867</v>
      </c>
      <c r="B1868" s="7">
        <v>5407543.36204137</v>
      </c>
      <c r="C1868">
        <f t="shared" si="29"/>
        <v>1</v>
      </c>
    </row>
    <row r="1869" spans="1:3" x14ac:dyDescent="0.3">
      <c r="A1869">
        <v>1868</v>
      </c>
      <c r="B1869" s="7">
        <v>2604186.6117056333</v>
      </c>
      <c r="C1869">
        <f t="shared" si="29"/>
        <v>1</v>
      </c>
    </row>
    <row r="1870" spans="1:3" x14ac:dyDescent="0.3">
      <c r="A1870">
        <v>1869</v>
      </c>
      <c r="B1870" s="7">
        <v>4175612.9574130136</v>
      </c>
      <c r="C1870">
        <f t="shared" si="29"/>
        <v>1</v>
      </c>
    </row>
    <row r="1871" spans="1:3" x14ac:dyDescent="0.3">
      <c r="A1871">
        <v>1870</v>
      </c>
      <c r="B1871" s="7">
        <v>3056007.7746352367</v>
      </c>
      <c r="C1871">
        <f t="shared" si="29"/>
        <v>1</v>
      </c>
    </row>
    <row r="1872" spans="1:3" x14ac:dyDescent="0.3">
      <c r="A1872">
        <v>1871</v>
      </c>
      <c r="B1872" s="7">
        <v>18320679.014018781</v>
      </c>
      <c r="C1872">
        <f t="shared" si="29"/>
        <v>1</v>
      </c>
    </row>
    <row r="1873" spans="1:3" x14ac:dyDescent="0.3">
      <c r="A1873">
        <v>1872</v>
      </c>
      <c r="B1873" s="7">
        <v>1657337.4203607545</v>
      </c>
      <c r="C1873">
        <f t="shared" si="29"/>
        <v>1</v>
      </c>
    </row>
    <row r="1874" spans="1:3" x14ac:dyDescent="0.3">
      <c r="A1874">
        <v>1873</v>
      </c>
      <c r="B1874" s="7">
        <v>7427633.8684491301</v>
      </c>
      <c r="C1874">
        <f t="shared" si="29"/>
        <v>1</v>
      </c>
    </row>
    <row r="1875" spans="1:3" x14ac:dyDescent="0.3">
      <c r="A1875">
        <v>1874</v>
      </c>
      <c r="B1875" s="7">
        <v>0</v>
      </c>
      <c r="C1875">
        <f t="shared" si="29"/>
        <v>0</v>
      </c>
    </row>
    <row r="1876" spans="1:3" x14ac:dyDescent="0.3">
      <c r="A1876">
        <v>1875</v>
      </c>
      <c r="B1876" s="7">
        <v>8842309.9350966923</v>
      </c>
      <c r="C1876">
        <f t="shared" si="29"/>
        <v>1</v>
      </c>
    </row>
    <row r="1877" spans="1:3" x14ac:dyDescent="0.3">
      <c r="A1877">
        <v>1876</v>
      </c>
      <c r="B1877" s="7">
        <v>4735746.3423518334</v>
      </c>
      <c r="C1877">
        <f t="shared" si="29"/>
        <v>1</v>
      </c>
    </row>
    <row r="1878" spans="1:3" x14ac:dyDescent="0.3">
      <c r="A1878">
        <v>1877</v>
      </c>
      <c r="B1878" s="7">
        <v>2412966.5838895529</v>
      </c>
      <c r="C1878">
        <f t="shared" si="29"/>
        <v>1</v>
      </c>
    </row>
    <row r="1879" spans="1:3" x14ac:dyDescent="0.3">
      <c r="A1879">
        <v>1878</v>
      </c>
      <c r="B1879" s="7">
        <v>691396.62679418072</v>
      </c>
      <c r="C1879">
        <f t="shared" si="29"/>
        <v>1</v>
      </c>
    </row>
    <row r="1880" spans="1:3" x14ac:dyDescent="0.3">
      <c r="A1880">
        <v>1879</v>
      </c>
      <c r="B1880" s="7">
        <v>3863833.3725412181</v>
      </c>
      <c r="C1880">
        <f t="shared" si="29"/>
        <v>1</v>
      </c>
    </row>
    <row r="1881" spans="1:3" x14ac:dyDescent="0.3">
      <c r="A1881">
        <v>1880</v>
      </c>
      <c r="B1881" s="7">
        <v>7267456.6850169823</v>
      </c>
      <c r="C1881">
        <f t="shared" si="29"/>
        <v>1</v>
      </c>
    </row>
    <row r="1882" spans="1:3" x14ac:dyDescent="0.3">
      <c r="A1882">
        <v>1881</v>
      </c>
      <c r="B1882" s="7">
        <v>2464630.4693803787</v>
      </c>
      <c r="C1882">
        <f t="shared" si="29"/>
        <v>1</v>
      </c>
    </row>
    <row r="1883" spans="1:3" x14ac:dyDescent="0.3">
      <c r="A1883">
        <v>1882</v>
      </c>
      <c r="B1883" s="7">
        <v>7945335.7382788947</v>
      </c>
      <c r="C1883">
        <f t="shared" si="29"/>
        <v>1</v>
      </c>
    </row>
    <row r="1884" spans="1:3" x14ac:dyDescent="0.3">
      <c r="A1884">
        <v>1883</v>
      </c>
      <c r="B1884" s="7">
        <v>943599.82751531235</v>
      </c>
      <c r="C1884">
        <f t="shared" si="29"/>
        <v>1</v>
      </c>
    </row>
    <row r="1885" spans="1:3" x14ac:dyDescent="0.3">
      <c r="A1885">
        <v>1884</v>
      </c>
      <c r="B1885" s="7">
        <v>6780446.6649000831</v>
      </c>
      <c r="C1885">
        <f t="shared" si="29"/>
        <v>1</v>
      </c>
    </row>
    <row r="1886" spans="1:3" x14ac:dyDescent="0.3">
      <c r="A1886">
        <v>1885</v>
      </c>
      <c r="B1886" s="7">
        <v>4936285.5583716547</v>
      </c>
      <c r="C1886">
        <f t="shared" si="29"/>
        <v>1</v>
      </c>
    </row>
    <row r="1887" spans="1:3" x14ac:dyDescent="0.3">
      <c r="A1887">
        <v>1886</v>
      </c>
      <c r="B1887" s="7">
        <v>13692994.767331365</v>
      </c>
      <c r="C1887">
        <f t="shared" si="29"/>
        <v>1</v>
      </c>
    </row>
    <row r="1888" spans="1:3" x14ac:dyDescent="0.3">
      <c r="A1888">
        <v>1887</v>
      </c>
      <c r="B1888" s="7">
        <v>4159025.9555765786</v>
      </c>
      <c r="C1888">
        <f t="shared" si="29"/>
        <v>1</v>
      </c>
    </row>
    <row r="1889" spans="1:3" x14ac:dyDescent="0.3">
      <c r="A1889">
        <v>1888</v>
      </c>
      <c r="B1889" s="7">
        <v>13494883.333701128</v>
      </c>
      <c r="C1889">
        <f t="shared" si="29"/>
        <v>1</v>
      </c>
    </row>
    <row r="1890" spans="1:3" x14ac:dyDescent="0.3">
      <c r="A1890">
        <v>1889</v>
      </c>
      <c r="B1890" s="7">
        <v>13829118.670865912</v>
      </c>
      <c r="C1890">
        <f t="shared" si="29"/>
        <v>1</v>
      </c>
    </row>
    <row r="1891" spans="1:3" x14ac:dyDescent="0.3">
      <c r="A1891">
        <v>1890</v>
      </c>
      <c r="B1891" s="7">
        <v>2766460.9456369965</v>
      </c>
      <c r="C1891">
        <f t="shared" si="29"/>
        <v>1</v>
      </c>
    </row>
    <row r="1892" spans="1:3" x14ac:dyDescent="0.3">
      <c r="A1892">
        <v>1891</v>
      </c>
      <c r="B1892" s="7">
        <v>5219775.7133316565</v>
      </c>
      <c r="C1892">
        <f t="shared" si="29"/>
        <v>1</v>
      </c>
    </row>
    <row r="1893" spans="1:3" x14ac:dyDescent="0.3">
      <c r="A1893">
        <v>1892</v>
      </c>
      <c r="B1893" s="7">
        <v>6865185.3391402997</v>
      </c>
      <c r="C1893">
        <f t="shared" si="29"/>
        <v>1</v>
      </c>
    </row>
    <row r="1894" spans="1:3" x14ac:dyDescent="0.3">
      <c r="A1894">
        <v>1893</v>
      </c>
      <c r="B1894" s="7">
        <v>4979803.9794602254</v>
      </c>
      <c r="C1894">
        <f t="shared" si="29"/>
        <v>1</v>
      </c>
    </row>
    <row r="1895" spans="1:3" x14ac:dyDescent="0.3">
      <c r="A1895">
        <v>1894</v>
      </c>
      <c r="B1895" s="7">
        <v>1167429.2666280472</v>
      </c>
      <c r="C1895">
        <f t="shared" si="29"/>
        <v>1</v>
      </c>
    </row>
    <row r="1896" spans="1:3" x14ac:dyDescent="0.3">
      <c r="A1896">
        <v>1895</v>
      </c>
      <c r="B1896" s="7">
        <v>30376961.555335075</v>
      </c>
      <c r="C1896">
        <f t="shared" si="29"/>
        <v>1</v>
      </c>
    </row>
    <row r="1897" spans="1:3" x14ac:dyDescent="0.3">
      <c r="A1897">
        <v>1896</v>
      </c>
      <c r="B1897" s="7">
        <v>26263599.235264864</v>
      </c>
      <c r="C1897">
        <f t="shared" si="29"/>
        <v>1</v>
      </c>
    </row>
    <row r="1898" spans="1:3" x14ac:dyDescent="0.3">
      <c r="A1898">
        <v>1897</v>
      </c>
      <c r="B1898" s="7">
        <v>5186283.5799674019</v>
      </c>
      <c r="C1898">
        <f t="shared" si="29"/>
        <v>1</v>
      </c>
    </row>
    <row r="1899" spans="1:3" x14ac:dyDescent="0.3">
      <c r="A1899">
        <v>1898</v>
      </c>
      <c r="B1899" s="7">
        <v>5060002.092742987</v>
      </c>
      <c r="C1899">
        <f t="shared" si="29"/>
        <v>1</v>
      </c>
    </row>
    <row r="1900" spans="1:3" x14ac:dyDescent="0.3">
      <c r="A1900">
        <v>1899</v>
      </c>
      <c r="B1900" s="7">
        <v>15485486.170996474</v>
      </c>
      <c r="C1900">
        <f t="shared" si="29"/>
        <v>1</v>
      </c>
    </row>
    <row r="1901" spans="1:3" x14ac:dyDescent="0.3">
      <c r="A1901">
        <v>1900</v>
      </c>
      <c r="B1901" s="7">
        <v>9011805.1286442745</v>
      </c>
      <c r="C1901">
        <f t="shared" si="29"/>
        <v>1</v>
      </c>
    </row>
    <row r="1902" spans="1:3" x14ac:dyDescent="0.3">
      <c r="A1902">
        <v>1901</v>
      </c>
      <c r="B1902" s="7">
        <v>5804459.9536942234</v>
      </c>
      <c r="C1902">
        <f t="shared" si="29"/>
        <v>1</v>
      </c>
    </row>
    <row r="1903" spans="1:3" x14ac:dyDescent="0.3">
      <c r="A1903">
        <v>1902</v>
      </c>
      <c r="B1903" s="7">
        <v>8347823.084243237</v>
      </c>
      <c r="C1903">
        <f t="shared" si="29"/>
        <v>1</v>
      </c>
    </row>
    <row r="1904" spans="1:3" x14ac:dyDescent="0.3">
      <c r="A1904">
        <v>1903</v>
      </c>
      <c r="B1904" s="7">
        <v>50844.791671173312</v>
      </c>
      <c r="C1904">
        <f t="shared" si="29"/>
        <v>1</v>
      </c>
    </row>
    <row r="1905" spans="1:3" x14ac:dyDescent="0.3">
      <c r="A1905">
        <v>1904</v>
      </c>
      <c r="B1905" s="7">
        <v>5621560.4135143235</v>
      </c>
      <c r="C1905">
        <f t="shared" si="29"/>
        <v>1</v>
      </c>
    </row>
    <row r="1906" spans="1:3" x14ac:dyDescent="0.3">
      <c r="A1906">
        <v>1905</v>
      </c>
      <c r="B1906" s="7">
        <v>7957409.991797098</v>
      </c>
      <c r="C1906">
        <f t="shared" si="29"/>
        <v>1</v>
      </c>
    </row>
    <row r="1907" spans="1:3" x14ac:dyDescent="0.3">
      <c r="A1907">
        <v>1906</v>
      </c>
      <c r="B1907" s="7">
        <v>7605486.2572491337</v>
      </c>
      <c r="C1907">
        <f t="shared" si="29"/>
        <v>1</v>
      </c>
    </row>
    <row r="1908" spans="1:3" x14ac:dyDescent="0.3">
      <c r="A1908">
        <v>1907</v>
      </c>
      <c r="B1908" s="7">
        <v>14050557.053976467</v>
      </c>
      <c r="C1908">
        <f t="shared" si="29"/>
        <v>1</v>
      </c>
    </row>
    <row r="1909" spans="1:3" x14ac:dyDescent="0.3">
      <c r="A1909">
        <v>1908</v>
      </c>
      <c r="B1909" s="7">
        <v>14443883.120649563</v>
      </c>
      <c r="C1909">
        <f t="shared" si="29"/>
        <v>1</v>
      </c>
    </row>
    <row r="1910" spans="1:3" x14ac:dyDescent="0.3">
      <c r="A1910">
        <v>1909</v>
      </c>
      <c r="B1910" s="7">
        <v>4797989.99852347</v>
      </c>
      <c r="C1910">
        <f t="shared" si="29"/>
        <v>1</v>
      </c>
    </row>
    <row r="1911" spans="1:3" x14ac:dyDescent="0.3">
      <c r="A1911">
        <v>1910</v>
      </c>
      <c r="B1911" s="7">
        <v>16539543.748916732</v>
      </c>
      <c r="C1911">
        <f t="shared" si="29"/>
        <v>1</v>
      </c>
    </row>
    <row r="1912" spans="1:3" x14ac:dyDescent="0.3">
      <c r="A1912">
        <v>1911</v>
      </c>
      <c r="B1912" s="7">
        <v>1213450.2096693232</v>
      </c>
      <c r="C1912">
        <f t="shared" si="29"/>
        <v>1</v>
      </c>
    </row>
    <row r="1913" spans="1:3" x14ac:dyDescent="0.3">
      <c r="A1913">
        <v>1912</v>
      </c>
      <c r="B1913" s="7">
        <v>3972937.6385775856</v>
      </c>
      <c r="C1913">
        <f t="shared" si="29"/>
        <v>1</v>
      </c>
    </row>
    <row r="1914" spans="1:3" x14ac:dyDescent="0.3">
      <c r="A1914">
        <v>1913</v>
      </c>
      <c r="B1914" s="7">
        <v>11111340.19327472</v>
      </c>
      <c r="C1914">
        <f t="shared" si="29"/>
        <v>1</v>
      </c>
    </row>
    <row r="1915" spans="1:3" x14ac:dyDescent="0.3">
      <c r="A1915">
        <v>1914</v>
      </c>
      <c r="B1915" s="7">
        <v>4719814.4658402065</v>
      </c>
      <c r="C1915">
        <f t="shared" si="29"/>
        <v>1</v>
      </c>
    </row>
    <row r="1916" spans="1:3" x14ac:dyDescent="0.3">
      <c r="A1916">
        <v>1915</v>
      </c>
      <c r="B1916" s="7">
        <v>2239707.6674023303</v>
      </c>
      <c r="C1916">
        <f t="shared" si="29"/>
        <v>1</v>
      </c>
    </row>
    <row r="1917" spans="1:3" x14ac:dyDescent="0.3">
      <c r="A1917">
        <v>1916</v>
      </c>
      <c r="B1917" s="7">
        <v>155243.66271996312</v>
      </c>
      <c r="C1917">
        <f t="shared" si="29"/>
        <v>1</v>
      </c>
    </row>
    <row r="1918" spans="1:3" x14ac:dyDescent="0.3">
      <c r="A1918">
        <v>1917</v>
      </c>
      <c r="B1918" s="7">
        <v>4788341.1814938653</v>
      </c>
      <c r="C1918">
        <f t="shared" si="29"/>
        <v>1</v>
      </c>
    </row>
    <row r="1919" spans="1:3" x14ac:dyDescent="0.3">
      <c r="A1919">
        <v>1918</v>
      </c>
      <c r="B1919" s="7">
        <v>4962875.7720477795</v>
      </c>
      <c r="C1919">
        <f t="shared" si="29"/>
        <v>1</v>
      </c>
    </row>
    <row r="1920" spans="1:3" x14ac:dyDescent="0.3">
      <c r="A1920">
        <v>1919</v>
      </c>
      <c r="B1920" s="7">
        <v>4166589.2433084678</v>
      </c>
      <c r="C1920">
        <f t="shared" si="29"/>
        <v>1</v>
      </c>
    </row>
    <row r="1921" spans="1:3" x14ac:dyDescent="0.3">
      <c r="A1921">
        <v>1920</v>
      </c>
      <c r="B1921" s="7">
        <v>24954877.405650977</v>
      </c>
      <c r="C1921">
        <f t="shared" si="29"/>
        <v>1</v>
      </c>
    </row>
    <row r="1922" spans="1:3" x14ac:dyDescent="0.3">
      <c r="A1922">
        <v>1921</v>
      </c>
      <c r="B1922" s="7">
        <v>8324262.6631287457</v>
      </c>
      <c r="C1922">
        <f t="shared" si="29"/>
        <v>1</v>
      </c>
    </row>
    <row r="1923" spans="1:3" x14ac:dyDescent="0.3">
      <c r="A1923">
        <v>1922</v>
      </c>
      <c r="B1923" s="7">
        <v>11736910.786066622</v>
      </c>
      <c r="C1923">
        <f t="shared" ref="C1923:C1986" si="30">IF(B1923=0,0,1)</f>
        <v>1</v>
      </c>
    </row>
    <row r="1924" spans="1:3" x14ac:dyDescent="0.3">
      <c r="A1924">
        <v>1923</v>
      </c>
      <c r="B1924" s="7">
        <v>5133668.7535065729</v>
      </c>
      <c r="C1924">
        <f t="shared" si="30"/>
        <v>1</v>
      </c>
    </row>
    <row r="1925" spans="1:3" x14ac:dyDescent="0.3">
      <c r="A1925">
        <v>1924</v>
      </c>
      <c r="B1925" s="7">
        <v>2256185.589905736</v>
      </c>
      <c r="C1925">
        <f t="shared" si="30"/>
        <v>1</v>
      </c>
    </row>
    <row r="1926" spans="1:3" x14ac:dyDescent="0.3">
      <c r="A1926">
        <v>1925</v>
      </c>
      <c r="B1926" s="7">
        <v>3923001.2393334364</v>
      </c>
      <c r="C1926">
        <f t="shared" si="30"/>
        <v>1</v>
      </c>
    </row>
    <row r="1927" spans="1:3" x14ac:dyDescent="0.3">
      <c r="A1927">
        <v>1926</v>
      </c>
      <c r="B1927" s="7">
        <v>3600684.5973651879</v>
      </c>
      <c r="C1927">
        <f t="shared" si="30"/>
        <v>1</v>
      </c>
    </row>
    <row r="1928" spans="1:3" x14ac:dyDescent="0.3">
      <c r="A1928">
        <v>1927</v>
      </c>
      <c r="B1928" s="7">
        <v>1937521.7277640747</v>
      </c>
      <c r="C1928">
        <f t="shared" si="30"/>
        <v>1</v>
      </c>
    </row>
    <row r="1929" spans="1:3" x14ac:dyDescent="0.3">
      <c r="A1929">
        <v>1928</v>
      </c>
      <c r="B1929" s="7">
        <v>2119576.1475970387</v>
      </c>
      <c r="C1929">
        <f t="shared" si="30"/>
        <v>1</v>
      </c>
    </row>
    <row r="1930" spans="1:3" x14ac:dyDescent="0.3">
      <c r="A1930">
        <v>1929</v>
      </c>
      <c r="B1930" s="7">
        <v>5409820.2547328938</v>
      </c>
      <c r="C1930">
        <f t="shared" si="30"/>
        <v>1</v>
      </c>
    </row>
    <row r="1931" spans="1:3" x14ac:dyDescent="0.3">
      <c r="A1931">
        <v>1930</v>
      </c>
      <c r="B1931" s="7">
        <v>1689651.2552245634</v>
      </c>
      <c r="C1931">
        <f t="shared" si="30"/>
        <v>1</v>
      </c>
    </row>
    <row r="1932" spans="1:3" x14ac:dyDescent="0.3">
      <c r="A1932">
        <v>1931</v>
      </c>
      <c r="B1932" s="7">
        <v>5450832.065241918</v>
      </c>
      <c r="C1932">
        <f t="shared" si="30"/>
        <v>1</v>
      </c>
    </row>
    <row r="1933" spans="1:3" x14ac:dyDescent="0.3">
      <c r="A1933">
        <v>1932</v>
      </c>
      <c r="B1933" s="7">
        <v>1617245.618510714</v>
      </c>
      <c r="C1933">
        <f t="shared" si="30"/>
        <v>1</v>
      </c>
    </row>
    <row r="1934" spans="1:3" x14ac:dyDescent="0.3">
      <c r="A1934">
        <v>1933</v>
      </c>
      <c r="B1934" s="7">
        <v>2918758.0744995619</v>
      </c>
      <c r="C1934">
        <f t="shared" si="30"/>
        <v>1</v>
      </c>
    </row>
    <row r="1935" spans="1:3" x14ac:dyDescent="0.3">
      <c r="A1935">
        <v>1934</v>
      </c>
      <c r="B1935" s="7">
        <v>3062928.1209809911</v>
      </c>
      <c r="C1935">
        <f t="shared" si="30"/>
        <v>1</v>
      </c>
    </row>
    <row r="1936" spans="1:3" x14ac:dyDescent="0.3">
      <c r="A1936">
        <v>1935</v>
      </c>
      <c r="B1936" s="7">
        <v>799462.15311708779</v>
      </c>
      <c r="C1936">
        <f t="shared" si="30"/>
        <v>1</v>
      </c>
    </row>
    <row r="1937" spans="1:3" x14ac:dyDescent="0.3">
      <c r="A1937">
        <v>1936</v>
      </c>
      <c r="B1937" s="7">
        <v>5413944.8294919375</v>
      </c>
      <c r="C1937">
        <f t="shared" si="30"/>
        <v>1</v>
      </c>
    </row>
    <row r="1938" spans="1:3" x14ac:dyDescent="0.3">
      <c r="A1938">
        <v>1937</v>
      </c>
      <c r="B1938" s="7">
        <v>6728459.1554712858</v>
      </c>
      <c r="C1938">
        <f t="shared" si="30"/>
        <v>1</v>
      </c>
    </row>
    <row r="1939" spans="1:3" x14ac:dyDescent="0.3">
      <c r="A1939">
        <v>1938</v>
      </c>
      <c r="B1939" s="7">
        <v>9605500.6650059726</v>
      </c>
      <c r="C1939">
        <f t="shared" si="30"/>
        <v>1</v>
      </c>
    </row>
    <row r="1940" spans="1:3" x14ac:dyDescent="0.3">
      <c r="A1940">
        <v>1939</v>
      </c>
      <c r="B1940" s="7">
        <v>3508687.9303449127</v>
      </c>
      <c r="C1940">
        <f t="shared" si="30"/>
        <v>1</v>
      </c>
    </row>
    <row r="1941" spans="1:3" x14ac:dyDescent="0.3">
      <c r="A1941">
        <v>1940</v>
      </c>
      <c r="B1941" s="7">
        <v>3625718.1930459645</v>
      </c>
      <c r="C1941">
        <f t="shared" si="30"/>
        <v>1</v>
      </c>
    </row>
    <row r="1942" spans="1:3" x14ac:dyDescent="0.3">
      <c r="A1942">
        <v>1941</v>
      </c>
      <c r="B1942" s="7">
        <v>4731265.1478178501</v>
      </c>
      <c r="C1942">
        <f t="shared" si="30"/>
        <v>1</v>
      </c>
    </row>
    <row r="1943" spans="1:3" x14ac:dyDescent="0.3">
      <c r="A1943">
        <v>1942</v>
      </c>
      <c r="B1943" s="7">
        <v>9801676.4092983846</v>
      </c>
      <c r="C1943">
        <f t="shared" si="30"/>
        <v>1</v>
      </c>
    </row>
    <row r="1944" spans="1:3" x14ac:dyDescent="0.3">
      <c r="A1944">
        <v>1943</v>
      </c>
      <c r="B1944" s="7">
        <v>6259421.1503445664</v>
      </c>
      <c r="C1944">
        <f t="shared" si="30"/>
        <v>1</v>
      </c>
    </row>
    <row r="1945" spans="1:3" x14ac:dyDescent="0.3">
      <c r="A1945">
        <v>1944</v>
      </c>
      <c r="B1945" s="7">
        <v>11855142.625263551</v>
      </c>
      <c r="C1945">
        <f t="shared" si="30"/>
        <v>1</v>
      </c>
    </row>
    <row r="1946" spans="1:3" x14ac:dyDescent="0.3">
      <c r="A1946">
        <v>1945</v>
      </c>
      <c r="B1946" s="7">
        <v>3671667.4364075242</v>
      </c>
      <c r="C1946">
        <f t="shared" si="30"/>
        <v>1</v>
      </c>
    </row>
    <row r="1947" spans="1:3" x14ac:dyDescent="0.3">
      <c r="A1947">
        <v>1946</v>
      </c>
      <c r="B1947" s="7">
        <v>19372033.4376732</v>
      </c>
      <c r="C1947">
        <f t="shared" si="30"/>
        <v>1</v>
      </c>
    </row>
    <row r="1948" spans="1:3" x14ac:dyDescent="0.3">
      <c r="A1948">
        <v>1947</v>
      </c>
      <c r="B1948" s="7">
        <v>8145222.3123882795</v>
      </c>
      <c r="C1948">
        <f t="shared" si="30"/>
        <v>1</v>
      </c>
    </row>
    <row r="1949" spans="1:3" x14ac:dyDescent="0.3">
      <c r="A1949">
        <v>1948</v>
      </c>
      <c r="B1949" s="7">
        <v>6627152.838538833</v>
      </c>
      <c r="C1949">
        <f t="shared" si="30"/>
        <v>1</v>
      </c>
    </row>
    <row r="1950" spans="1:3" x14ac:dyDescent="0.3">
      <c r="A1950">
        <v>1949</v>
      </c>
      <c r="B1950" s="7">
        <v>948152.46506574634</v>
      </c>
      <c r="C1950">
        <f t="shared" si="30"/>
        <v>1</v>
      </c>
    </row>
    <row r="1951" spans="1:3" x14ac:dyDescent="0.3">
      <c r="A1951">
        <v>1950</v>
      </c>
      <c r="B1951" s="7">
        <v>6991421.2380028171</v>
      </c>
      <c r="C1951">
        <f t="shared" si="30"/>
        <v>1</v>
      </c>
    </row>
    <row r="1952" spans="1:3" x14ac:dyDescent="0.3">
      <c r="A1952">
        <v>1951</v>
      </c>
      <c r="B1952" s="7">
        <v>8610701.8525650632</v>
      </c>
      <c r="C1952">
        <f t="shared" si="30"/>
        <v>1</v>
      </c>
    </row>
    <row r="1953" spans="1:3" x14ac:dyDescent="0.3">
      <c r="A1953">
        <v>1952</v>
      </c>
      <c r="B1953" s="7">
        <v>6860388.5531935943</v>
      </c>
      <c r="C1953">
        <f t="shared" si="30"/>
        <v>1</v>
      </c>
    </row>
    <row r="1954" spans="1:3" x14ac:dyDescent="0.3">
      <c r="A1954">
        <v>1953</v>
      </c>
      <c r="B1954" s="7">
        <v>2158520.8120760527</v>
      </c>
      <c r="C1954">
        <f t="shared" si="30"/>
        <v>1</v>
      </c>
    </row>
    <row r="1955" spans="1:3" x14ac:dyDescent="0.3">
      <c r="A1955">
        <v>1954</v>
      </c>
      <c r="B1955" s="7">
        <v>4087258.0834132051</v>
      </c>
      <c r="C1955">
        <f t="shared" si="30"/>
        <v>1</v>
      </c>
    </row>
    <row r="1956" spans="1:3" x14ac:dyDescent="0.3">
      <c r="A1956">
        <v>1955</v>
      </c>
      <c r="B1956" s="7">
        <v>6743287.5799297737</v>
      </c>
      <c r="C1956">
        <f t="shared" si="30"/>
        <v>1</v>
      </c>
    </row>
    <row r="1957" spans="1:3" x14ac:dyDescent="0.3">
      <c r="A1957">
        <v>1956</v>
      </c>
      <c r="B1957" s="7">
        <v>4306698.4713311018</v>
      </c>
      <c r="C1957">
        <f t="shared" si="30"/>
        <v>1</v>
      </c>
    </row>
    <row r="1958" spans="1:3" x14ac:dyDescent="0.3">
      <c r="A1958">
        <v>1957</v>
      </c>
      <c r="B1958" s="7">
        <v>7155664.7701107757</v>
      </c>
      <c r="C1958">
        <f t="shared" si="30"/>
        <v>1</v>
      </c>
    </row>
    <row r="1959" spans="1:3" x14ac:dyDescent="0.3">
      <c r="A1959">
        <v>1958</v>
      </c>
      <c r="B1959" s="7">
        <v>0</v>
      </c>
      <c r="C1959">
        <f t="shared" si="30"/>
        <v>0</v>
      </c>
    </row>
    <row r="1960" spans="1:3" x14ac:dyDescent="0.3">
      <c r="A1960">
        <v>1959</v>
      </c>
      <c r="B1960" s="7">
        <v>7181370.5835936582</v>
      </c>
      <c r="C1960">
        <f t="shared" si="30"/>
        <v>1</v>
      </c>
    </row>
    <row r="1961" spans="1:3" x14ac:dyDescent="0.3">
      <c r="A1961">
        <v>1960</v>
      </c>
      <c r="B1961" s="7">
        <v>7810609.3951538038</v>
      </c>
      <c r="C1961">
        <f t="shared" si="30"/>
        <v>1</v>
      </c>
    </row>
    <row r="1962" spans="1:3" x14ac:dyDescent="0.3">
      <c r="A1962">
        <v>1961</v>
      </c>
      <c r="B1962" s="7">
        <v>3098432.2984319585</v>
      </c>
      <c r="C1962">
        <f t="shared" si="30"/>
        <v>1</v>
      </c>
    </row>
    <row r="1963" spans="1:3" x14ac:dyDescent="0.3">
      <c r="A1963">
        <v>1962</v>
      </c>
      <c r="B1963" s="7">
        <v>7414527.1669672448</v>
      </c>
      <c r="C1963">
        <f t="shared" si="30"/>
        <v>1</v>
      </c>
    </row>
    <row r="1964" spans="1:3" x14ac:dyDescent="0.3">
      <c r="A1964">
        <v>1963</v>
      </c>
      <c r="B1964" s="7">
        <v>5215217.0886455225</v>
      </c>
      <c r="C1964">
        <f t="shared" si="30"/>
        <v>1</v>
      </c>
    </row>
    <row r="1965" spans="1:3" x14ac:dyDescent="0.3">
      <c r="A1965">
        <v>1964</v>
      </c>
      <c r="B1965" s="7">
        <v>1103928.9200681916</v>
      </c>
      <c r="C1965">
        <f t="shared" si="30"/>
        <v>1</v>
      </c>
    </row>
    <row r="1966" spans="1:3" x14ac:dyDescent="0.3">
      <c r="A1966">
        <v>1965</v>
      </c>
      <c r="B1966" s="7">
        <v>138556.91072586767</v>
      </c>
      <c r="C1966">
        <f t="shared" si="30"/>
        <v>1</v>
      </c>
    </row>
    <row r="1967" spans="1:3" x14ac:dyDescent="0.3">
      <c r="A1967">
        <v>1966</v>
      </c>
      <c r="B1967" s="7">
        <v>1667711.9550507583</v>
      </c>
      <c r="C1967">
        <f t="shared" si="30"/>
        <v>1</v>
      </c>
    </row>
    <row r="1968" spans="1:3" x14ac:dyDescent="0.3">
      <c r="A1968">
        <v>1967</v>
      </c>
      <c r="B1968" s="7">
        <v>13184386.076113382</v>
      </c>
      <c r="C1968">
        <f t="shared" si="30"/>
        <v>1</v>
      </c>
    </row>
    <row r="1969" spans="1:3" x14ac:dyDescent="0.3">
      <c r="A1969">
        <v>1968</v>
      </c>
      <c r="B1969" s="7">
        <v>398355.08582846011</v>
      </c>
      <c r="C1969">
        <f t="shared" si="30"/>
        <v>1</v>
      </c>
    </row>
    <row r="1970" spans="1:3" x14ac:dyDescent="0.3">
      <c r="A1970">
        <v>1969</v>
      </c>
      <c r="B1970" s="7">
        <v>3360180.829027704</v>
      </c>
      <c r="C1970">
        <f t="shared" si="30"/>
        <v>1</v>
      </c>
    </row>
    <row r="1971" spans="1:3" x14ac:dyDescent="0.3">
      <c r="A1971">
        <v>1970</v>
      </c>
      <c r="B1971" s="7">
        <v>6225404.6938875671</v>
      </c>
      <c r="C1971">
        <f t="shared" si="30"/>
        <v>1</v>
      </c>
    </row>
    <row r="1972" spans="1:3" x14ac:dyDescent="0.3">
      <c r="A1972">
        <v>1971</v>
      </c>
      <c r="B1972" s="7">
        <v>3831870.3403954213</v>
      </c>
      <c r="C1972">
        <f t="shared" si="30"/>
        <v>1</v>
      </c>
    </row>
    <row r="1973" spans="1:3" x14ac:dyDescent="0.3">
      <c r="A1973">
        <v>1972</v>
      </c>
      <c r="B1973" s="7">
        <v>5668245.9689396564</v>
      </c>
      <c r="C1973">
        <f t="shared" si="30"/>
        <v>1</v>
      </c>
    </row>
    <row r="1974" spans="1:3" x14ac:dyDescent="0.3">
      <c r="A1974">
        <v>1973</v>
      </c>
      <c r="B1974" s="7">
        <v>1347164.098067214</v>
      </c>
      <c r="C1974">
        <f t="shared" si="30"/>
        <v>1</v>
      </c>
    </row>
    <row r="1975" spans="1:3" x14ac:dyDescent="0.3">
      <c r="A1975">
        <v>1974</v>
      </c>
      <c r="B1975" s="7">
        <v>10398528.41098256</v>
      </c>
      <c r="C1975">
        <f t="shared" si="30"/>
        <v>1</v>
      </c>
    </row>
    <row r="1976" spans="1:3" x14ac:dyDescent="0.3">
      <c r="A1976">
        <v>1975</v>
      </c>
      <c r="B1976" s="7">
        <v>1748267.5900543947</v>
      </c>
      <c r="C1976">
        <f t="shared" si="30"/>
        <v>1</v>
      </c>
    </row>
    <row r="1977" spans="1:3" x14ac:dyDescent="0.3">
      <c r="A1977">
        <v>1976</v>
      </c>
      <c r="B1977" s="7">
        <v>6384809.7061032252</v>
      </c>
      <c r="C1977">
        <f t="shared" si="30"/>
        <v>1</v>
      </c>
    </row>
    <row r="1978" spans="1:3" x14ac:dyDescent="0.3">
      <c r="A1978">
        <v>1977</v>
      </c>
      <c r="B1978" s="7">
        <v>5439231.5267541325</v>
      </c>
      <c r="C1978">
        <f t="shared" si="30"/>
        <v>1</v>
      </c>
    </row>
    <row r="1979" spans="1:3" x14ac:dyDescent="0.3">
      <c r="A1979">
        <v>1978</v>
      </c>
      <c r="B1979" s="7">
        <v>1756230.2615425021</v>
      </c>
      <c r="C1979">
        <f t="shared" si="30"/>
        <v>1</v>
      </c>
    </row>
    <row r="1980" spans="1:3" x14ac:dyDescent="0.3">
      <c r="A1980">
        <v>1979</v>
      </c>
      <c r="B1980" s="7">
        <v>4210334.5474287327</v>
      </c>
      <c r="C1980">
        <f t="shared" si="30"/>
        <v>1</v>
      </c>
    </row>
    <row r="1981" spans="1:3" x14ac:dyDescent="0.3">
      <c r="A1981">
        <v>1980</v>
      </c>
      <c r="B1981" s="7">
        <v>8852993.8634132538</v>
      </c>
      <c r="C1981">
        <f t="shared" si="30"/>
        <v>1</v>
      </c>
    </row>
    <row r="1982" spans="1:3" x14ac:dyDescent="0.3">
      <c r="A1982">
        <v>1981</v>
      </c>
      <c r="B1982" s="7">
        <v>2841351.4605242526</v>
      </c>
      <c r="C1982">
        <f t="shared" si="30"/>
        <v>1</v>
      </c>
    </row>
    <row r="1983" spans="1:3" x14ac:dyDescent="0.3">
      <c r="A1983">
        <v>1982</v>
      </c>
      <c r="B1983" s="7">
        <v>4931534.8778636865</v>
      </c>
      <c r="C1983">
        <f t="shared" si="30"/>
        <v>1</v>
      </c>
    </row>
    <row r="1984" spans="1:3" x14ac:dyDescent="0.3">
      <c r="A1984">
        <v>1983</v>
      </c>
      <c r="B1984" s="7">
        <v>522960.42332862411</v>
      </c>
      <c r="C1984">
        <f t="shared" si="30"/>
        <v>1</v>
      </c>
    </row>
    <row r="1985" spans="1:3" x14ac:dyDescent="0.3">
      <c r="A1985">
        <v>1984</v>
      </c>
      <c r="B1985" s="7">
        <v>211630.28115519552</v>
      </c>
      <c r="C1985">
        <f t="shared" si="30"/>
        <v>1</v>
      </c>
    </row>
    <row r="1986" spans="1:3" x14ac:dyDescent="0.3">
      <c r="A1986">
        <v>1985</v>
      </c>
      <c r="B1986" s="7">
        <v>14984866.242260084</v>
      </c>
      <c r="C1986">
        <f t="shared" si="30"/>
        <v>1</v>
      </c>
    </row>
    <row r="1987" spans="1:3" x14ac:dyDescent="0.3">
      <c r="A1987">
        <v>1986</v>
      </c>
      <c r="B1987" s="7">
        <v>6760013.2819486763</v>
      </c>
      <c r="C1987">
        <f t="shared" ref="C1987:C2050" si="31">IF(B1987=0,0,1)</f>
        <v>1</v>
      </c>
    </row>
    <row r="1988" spans="1:3" x14ac:dyDescent="0.3">
      <c r="A1988">
        <v>1987</v>
      </c>
      <c r="B1988" s="7">
        <v>4886784.5131104579</v>
      </c>
      <c r="C1988">
        <f t="shared" si="31"/>
        <v>1</v>
      </c>
    </row>
    <row r="1989" spans="1:3" x14ac:dyDescent="0.3">
      <c r="A1989">
        <v>1988</v>
      </c>
      <c r="B1989" s="7">
        <v>2507237.13088908</v>
      </c>
      <c r="C1989">
        <f t="shared" si="31"/>
        <v>1</v>
      </c>
    </row>
    <row r="1990" spans="1:3" x14ac:dyDescent="0.3">
      <c r="A1990">
        <v>1989</v>
      </c>
      <c r="B1990" s="7">
        <v>8045592.5555244442</v>
      </c>
      <c r="C1990">
        <f t="shared" si="31"/>
        <v>1</v>
      </c>
    </row>
    <row r="1991" spans="1:3" x14ac:dyDescent="0.3">
      <c r="A1991">
        <v>1990</v>
      </c>
      <c r="B1991" s="7">
        <v>2043580.3438345713</v>
      </c>
      <c r="C1991">
        <f t="shared" si="31"/>
        <v>1</v>
      </c>
    </row>
    <row r="1992" spans="1:3" x14ac:dyDescent="0.3">
      <c r="A1992">
        <v>1991</v>
      </c>
      <c r="B1992" s="7">
        <v>6713867.5295338212</v>
      </c>
      <c r="C1992">
        <f t="shared" si="31"/>
        <v>1</v>
      </c>
    </row>
    <row r="1993" spans="1:3" x14ac:dyDescent="0.3">
      <c r="A1993">
        <v>1992</v>
      </c>
      <c r="B1993" s="7">
        <v>0</v>
      </c>
      <c r="C1993">
        <f t="shared" si="31"/>
        <v>0</v>
      </c>
    </row>
    <row r="1994" spans="1:3" x14ac:dyDescent="0.3">
      <c r="A1994">
        <v>1993</v>
      </c>
      <c r="B1994" s="7">
        <v>2545939.1692632013</v>
      </c>
      <c r="C1994">
        <f t="shared" si="31"/>
        <v>1</v>
      </c>
    </row>
    <row r="1995" spans="1:3" x14ac:dyDescent="0.3">
      <c r="A1995">
        <v>1994</v>
      </c>
      <c r="B1995" s="7">
        <v>3813725.8137755482</v>
      </c>
      <c r="C1995">
        <f t="shared" si="31"/>
        <v>1</v>
      </c>
    </row>
    <row r="1996" spans="1:3" x14ac:dyDescent="0.3">
      <c r="A1996">
        <v>1995</v>
      </c>
      <c r="B1996" s="7">
        <v>591623.69679457776</v>
      </c>
      <c r="C1996">
        <f t="shared" si="31"/>
        <v>1</v>
      </c>
    </row>
    <row r="1997" spans="1:3" x14ac:dyDescent="0.3">
      <c r="A1997">
        <v>1996</v>
      </c>
      <c r="B1997" s="7">
        <v>9651000.6796393413</v>
      </c>
      <c r="C1997">
        <f t="shared" si="31"/>
        <v>1</v>
      </c>
    </row>
    <row r="1998" spans="1:3" x14ac:dyDescent="0.3">
      <c r="A1998">
        <v>1997</v>
      </c>
      <c r="B1998" s="7">
        <v>7409534.4748590821</v>
      </c>
      <c r="C1998">
        <f t="shared" si="31"/>
        <v>1</v>
      </c>
    </row>
    <row r="1999" spans="1:3" x14ac:dyDescent="0.3">
      <c r="A1999">
        <v>1998</v>
      </c>
      <c r="B1999" s="7">
        <v>5633031.6230870914</v>
      </c>
      <c r="C1999">
        <f t="shared" si="31"/>
        <v>1</v>
      </c>
    </row>
    <row r="2000" spans="1:3" x14ac:dyDescent="0.3">
      <c r="A2000">
        <v>1999</v>
      </c>
      <c r="B2000" s="7">
        <v>2619474.8646467039</v>
      </c>
      <c r="C2000">
        <f t="shared" si="31"/>
        <v>1</v>
      </c>
    </row>
    <row r="2001" spans="1:3" x14ac:dyDescent="0.3">
      <c r="A2001">
        <v>2000</v>
      </c>
      <c r="B2001" s="7">
        <v>4337399.2647538511</v>
      </c>
      <c r="C2001">
        <f t="shared" si="31"/>
        <v>1</v>
      </c>
    </row>
    <row r="2002" spans="1:3" x14ac:dyDescent="0.3">
      <c r="A2002">
        <v>2001</v>
      </c>
      <c r="B2002" s="7">
        <v>6756037.1118575865</v>
      </c>
      <c r="C2002">
        <f t="shared" si="31"/>
        <v>1</v>
      </c>
    </row>
    <row r="2003" spans="1:3" x14ac:dyDescent="0.3">
      <c r="A2003">
        <v>2002</v>
      </c>
      <c r="B2003" s="7">
        <v>7787390.5631294064</v>
      </c>
      <c r="C2003">
        <f t="shared" si="31"/>
        <v>1</v>
      </c>
    </row>
    <row r="2004" spans="1:3" x14ac:dyDescent="0.3">
      <c r="A2004">
        <v>2003</v>
      </c>
      <c r="B2004" s="7">
        <v>6866122.2488788459</v>
      </c>
      <c r="C2004">
        <f t="shared" si="31"/>
        <v>1</v>
      </c>
    </row>
    <row r="2005" spans="1:3" x14ac:dyDescent="0.3">
      <c r="A2005">
        <v>2004</v>
      </c>
      <c r="B2005" s="7">
        <v>8090614.1603073664</v>
      </c>
      <c r="C2005">
        <f t="shared" si="31"/>
        <v>1</v>
      </c>
    </row>
    <row r="2006" spans="1:3" x14ac:dyDescent="0.3">
      <c r="A2006">
        <v>2005</v>
      </c>
      <c r="B2006" s="7">
        <v>0</v>
      </c>
      <c r="C2006">
        <f t="shared" si="31"/>
        <v>0</v>
      </c>
    </row>
    <row r="2007" spans="1:3" x14ac:dyDescent="0.3">
      <c r="A2007">
        <v>2006</v>
      </c>
      <c r="B2007" s="7">
        <v>3410207.1853264524</v>
      </c>
      <c r="C2007">
        <f t="shared" si="31"/>
        <v>1</v>
      </c>
    </row>
    <row r="2008" spans="1:3" x14ac:dyDescent="0.3">
      <c r="A2008">
        <v>2007</v>
      </c>
      <c r="B2008" s="7">
        <v>6552704.8119817385</v>
      </c>
      <c r="C2008">
        <f t="shared" si="31"/>
        <v>1</v>
      </c>
    </row>
    <row r="2009" spans="1:3" x14ac:dyDescent="0.3">
      <c r="A2009">
        <v>2008</v>
      </c>
      <c r="B2009" s="7">
        <v>2160626.666987299</v>
      </c>
      <c r="C2009">
        <f t="shared" si="31"/>
        <v>1</v>
      </c>
    </row>
    <row r="2010" spans="1:3" x14ac:dyDescent="0.3">
      <c r="A2010">
        <v>2009</v>
      </c>
      <c r="B2010" s="7">
        <v>11824616.58295263</v>
      </c>
      <c r="C2010">
        <f t="shared" si="31"/>
        <v>1</v>
      </c>
    </row>
    <row r="2011" spans="1:3" x14ac:dyDescent="0.3">
      <c r="A2011">
        <v>2010</v>
      </c>
      <c r="B2011" s="7">
        <v>1290603.4116765615</v>
      </c>
      <c r="C2011">
        <f t="shared" si="31"/>
        <v>1</v>
      </c>
    </row>
    <row r="2012" spans="1:3" x14ac:dyDescent="0.3">
      <c r="A2012">
        <v>2011</v>
      </c>
      <c r="B2012" s="7">
        <v>2072723.2468888238</v>
      </c>
      <c r="C2012">
        <f t="shared" si="31"/>
        <v>1</v>
      </c>
    </row>
    <row r="2013" spans="1:3" x14ac:dyDescent="0.3">
      <c r="A2013">
        <v>2012</v>
      </c>
      <c r="B2013" s="7">
        <v>4338979.8993215635</v>
      </c>
      <c r="C2013">
        <f t="shared" si="31"/>
        <v>1</v>
      </c>
    </row>
    <row r="2014" spans="1:3" x14ac:dyDescent="0.3">
      <c r="A2014">
        <v>2013</v>
      </c>
      <c r="B2014" s="7">
        <v>4248942.1266361093</v>
      </c>
      <c r="C2014">
        <f t="shared" si="31"/>
        <v>1</v>
      </c>
    </row>
    <row r="2015" spans="1:3" x14ac:dyDescent="0.3">
      <c r="A2015">
        <v>2014</v>
      </c>
      <c r="B2015" s="7">
        <v>10582689.557468969</v>
      </c>
      <c r="C2015">
        <f t="shared" si="31"/>
        <v>1</v>
      </c>
    </row>
    <row r="2016" spans="1:3" x14ac:dyDescent="0.3">
      <c r="A2016">
        <v>2015</v>
      </c>
      <c r="B2016" s="7">
        <v>11246313.439626589</v>
      </c>
      <c r="C2016">
        <f t="shared" si="31"/>
        <v>1</v>
      </c>
    </row>
    <row r="2017" spans="1:3" x14ac:dyDescent="0.3">
      <c r="A2017">
        <v>2016</v>
      </c>
      <c r="B2017" s="7">
        <v>2901552.5971542927</v>
      </c>
      <c r="C2017">
        <f t="shared" si="31"/>
        <v>1</v>
      </c>
    </row>
    <row r="2018" spans="1:3" x14ac:dyDescent="0.3">
      <c r="A2018">
        <v>2017</v>
      </c>
      <c r="B2018" s="7">
        <v>5931394.4270628449</v>
      </c>
      <c r="C2018">
        <f t="shared" si="31"/>
        <v>1</v>
      </c>
    </row>
    <row r="2019" spans="1:3" x14ac:dyDescent="0.3">
      <c r="A2019">
        <v>2018</v>
      </c>
      <c r="B2019" s="7">
        <v>10781783.63560289</v>
      </c>
      <c r="C2019">
        <f t="shared" si="31"/>
        <v>1</v>
      </c>
    </row>
    <row r="2020" spans="1:3" x14ac:dyDescent="0.3">
      <c r="A2020">
        <v>2019</v>
      </c>
      <c r="B2020" s="7">
        <v>5001084.2743966114</v>
      </c>
      <c r="C2020">
        <f t="shared" si="31"/>
        <v>1</v>
      </c>
    </row>
    <row r="2021" spans="1:3" x14ac:dyDescent="0.3">
      <c r="A2021">
        <v>2020</v>
      </c>
      <c r="B2021" s="7">
        <v>5821345.1520762173</v>
      </c>
      <c r="C2021">
        <f t="shared" si="31"/>
        <v>1</v>
      </c>
    </row>
    <row r="2022" spans="1:3" x14ac:dyDescent="0.3">
      <c r="A2022">
        <v>2021</v>
      </c>
      <c r="B2022" s="7">
        <v>5104593.1608723793</v>
      </c>
      <c r="C2022">
        <f t="shared" si="31"/>
        <v>1</v>
      </c>
    </row>
    <row r="2023" spans="1:3" x14ac:dyDescent="0.3">
      <c r="A2023">
        <v>2022</v>
      </c>
      <c r="B2023" s="7">
        <v>15412579.874146694</v>
      </c>
      <c r="C2023">
        <f t="shared" si="31"/>
        <v>1</v>
      </c>
    </row>
    <row r="2024" spans="1:3" x14ac:dyDescent="0.3">
      <c r="A2024">
        <v>2023</v>
      </c>
      <c r="B2024" s="7">
        <v>10903919.809726579</v>
      </c>
      <c r="C2024">
        <f t="shared" si="31"/>
        <v>1</v>
      </c>
    </row>
    <row r="2025" spans="1:3" x14ac:dyDescent="0.3">
      <c r="A2025">
        <v>2024</v>
      </c>
      <c r="B2025" s="7">
        <v>1333553.6010625856</v>
      </c>
      <c r="C2025">
        <f t="shared" si="31"/>
        <v>1</v>
      </c>
    </row>
    <row r="2026" spans="1:3" x14ac:dyDescent="0.3">
      <c r="A2026">
        <v>2025</v>
      </c>
      <c r="B2026" s="7">
        <v>7169062.662388429</v>
      </c>
      <c r="C2026">
        <f t="shared" si="31"/>
        <v>1</v>
      </c>
    </row>
    <row r="2027" spans="1:3" x14ac:dyDescent="0.3">
      <c r="A2027">
        <v>2026</v>
      </c>
      <c r="B2027" s="7">
        <v>11562323.433270829</v>
      </c>
      <c r="C2027">
        <f t="shared" si="31"/>
        <v>1</v>
      </c>
    </row>
    <row r="2028" spans="1:3" x14ac:dyDescent="0.3">
      <c r="A2028">
        <v>2027</v>
      </c>
      <c r="B2028" s="7">
        <v>29371867.100295607</v>
      </c>
      <c r="C2028">
        <f t="shared" si="31"/>
        <v>1</v>
      </c>
    </row>
    <row r="2029" spans="1:3" x14ac:dyDescent="0.3">
      <c r="A2029">
        <v>2028</v>
      </c>
      <c r="B2029" s="7">
        <v>3856373.2536444827</v>
      </c>
      <c r="C2029">
        <f t="shared" si="31"/>
        <v>1</v>
      </c>
    </row>
    <row r="2030" spans="1:3" x14ac:dyDescent="0.3">
      <c r="A2030">
        <v>2029</v>
      </c>
      <c r="B2030" s="7">
        <v>5143853.0251795342</v>
      </c>
      <c r="C2030">
        <f t="shared" si="31"/>
        <v>1</v>
      </c>
    </row>
    <row r="2031" spans="1:3" x14ac:dyDescent="0.3">
      <c r="A2031">
        <v>2030</v>
      </c>
      <c r="B2031" s="7">
        <v>1450813.9192183318</v>
      </c>
      <c r="C2031">
        <f t="shared" si="31"/>
        <v>1</v>
      </c>
    </row>
    <row r="2032" spans="1:3" x14ac:dyDescent="0.3">
      <c r="A2032">
        <v>2031</v>
      </c>
      <c r="B2032" s="7">
        <v>7032363.6488315687</v>
      </c>
      <c r="C2032">
        <f t="shared" si="31"/>
        <v>1</v>
      </c>
    </row>
    <row r="2033" spans="1:3" x14ac:dyDescent="0.3">
      <c r="A2033">
        <v>2032</v>
      </c>
      <c r="B2033" s="7">
        <v>1989416.1790779019</v>
      </c>
      <c r="C2033">
        <f t="shared" si="31"/>
        <v>1</v>
      </c>
    </row>
    <row r="2034" spans="1:3" x14ac:dyDescent="0.3">
      <c r="A2034">
        <v>2033</v>
      </c>
      <c r="B2034" s="7">
        <v>4587403.5929309987</v>
      </c>
      <c r="C2034">
        <f t="shared" si="31"/>
        <v>1</v>
      </c>
    </row>
    <row r="2035" spans="1:3" x14ac:dyDescent="0.3">
      <c r="A2035">
        <v>2034</v>
      </c>
      <c r="B2035" s="7">
        <v>2391357.8016221123</v>
      </c>
      <c r="C2035">
        <f t="shared" si="31"/>
        <v>1</v>
      </c>
    </row>
    <row r="2036" spans="1:3" x14ac:dyDescent="0.3">
      <c r="A2036">
        <v>2035</v>
      </c>
      <c r="B2036" s="7">
        <v>975888.87622136506</v>
      </c>
      <c r="C2036">
        <f t="shared" si="31"/>
        <v>1</v>
      </c>
    </row>
    <row r="2037" spans="1:3" x14ac:dyDescent="0.3">
      <c r="A2037">
        <v>2036</v>
      </c>
      <c r="B2037" s="7">
        <v>11435095.5605758</v>
      </c>
      <c r="C2037">
        <f t="shared" si="31"/>
        <v>1</v>
      </c>
    </row>
    <row r="2038" spans="1:3" x14ac:dyDescent="0.3">
      <c r="A2038">
        <v>2037</v>
      </c>
      <c r="B2038" s="7">
        <v>5252900.771203341</v>
      </c>
      <c r="C2038">
        <f t="shared" si="31"/>
        <v>1</v>
      </c>
    </row>
    <row r="2039" spans="1:3" x14ac:dyDescent="0.3">
      <c r="A2039">
        <v>2038</v>
      </c>
      <c r="B2039" s="7">
        <v>3419011.7624184219</v>
      </c>
      <c r="C2039">
        <f t="shared" si="31"/>
        <v>1</v>
      </c>
    </row>
    <row r="2040" spans="1:3" x14ac:dyDescent="0.3">
      <c r="A2040">
        <v>2039</v>
      </c>
      <c r="B2040" s="7">
        <v>3322242.4648355339</v>
      </c>
      <c r="C2040">
        <f t="shared" si="31"/>
        <v>1</v>
      </c>
    </row>
    <row r="2041" spans="1:3" x14ac:dyDescent="0.3">
      <c r="A2041">
        <v>2040</v>
      </c>
      <c r="B2041" s="7">
        <v>2845567.5371183706</v>
      </c>
      <c r="C2041">
        <f t="shared" si="31"/>
        <v>1</v>
      </c>
    </row>
    <row r="2042" spans="1:3" x14ac:dyDescent="0.3">
      <c r="A2042">
        <v>2041</v>
      </c>
      <c r="B2042" s="7">
        <v>2595261.5593242166</v>
      </c>
      <c r="C2042">
        <f t="shared" si="31"/>
        <v>1</v>
      </c>
    </row>
    <row r="2043" spans="1:3" x14ac:dyDescent="0.3">
      <c r="A2043">
        <v>2042</v>
      </c>
      <c r="B2043" s="7">
        <v>4849834.322260702</v>
      </c>
      <c r="C2043">
        <f t="shared" si="31"/>
        <v>1</v>
      </c>
    </row>
    <row r="2044" spans="1:3" x14ac:dyDescent="0.3">
      <c r="A2044">
        <v>2043</v>
      </c>
      <c r="B2044" s="7">
        <v>6073654.7369197104</v>
      </c>
      <c r="C2044">
        <f t="shared" si="31"/>
        <v>1</v>
      </c>
    </row>
    <row r="2045" spans="1:3" x14ac:dyDescent="0.3">
      <c r="A2045">
        <v>2044</v>
      </c>
      <c r="B2045" s="7">
        <v>1503036.3957123007</v>
      </c>
      <c r="C2045">
        <f t="shared" si="31"/>
        <v>1</v>
      </c>
    </row>
    <row r="2046" spans="1:3" x14ac:dyDescent="0.3">
      <c r="A2046">
        <v>2045</v>
      </c>
      <c r="B2046" s="7">
        <v>3751051.8859499805</v>
      </c>
      <c r="C2046">
        <f t="shared" si="31"/>
        <v>1</v>
      </c>
    </row>
    <row r="2047" spans="1:3" x14ac:dyDescent="0.3">
      <c r="A2047">
        <v>2046</v>
      </c>
      <c r="B2047" s="7">
        <v>18132191.593073007</v>
      </c>
      <c r="C2047">
        <f t="shared" si="31"/>
        <v>1</v>
      </c>
    </row>
    <row r="2048" spans="1:3" x14ac:dyDescent="0.3">
      <c r="A2048">
        <v>2047</v>
      </c>
      <c r="B2048" s="7">
        <v>378097.81547765323</v>
      </c>
      <c r="C2048">
        <f t="shared" si="31"/>
        <v>1</v>
      </c>
    </row>
    <row r="2049" spans="1:3" x14ac:dyDescent="0.3">
      <c r="A2049">
        <v>2048</v>
      </c>
      <c r="B2049" s="7">
        <v>11932120.338958159</v>
      </c>
      <c r="C2049">
        <f t="shared" si="31"/>
        <v>1</v>
      </c>
    </row>
    <row r="2050" spans="1:3" x14ac:dyDescent="0.3">
      <c r="A2050">
        <v>2049</v>
      </c>
      <c r="B2050" s="7">
        <v>10376227.473326812</v>
      </c>
      <c r="C2050">
        <f t="shared" si="31"/>
        <v>1</v>
      </c>
    </row>
    <row r="2051" spans="1:3" x14ac:dyDescent="0.3">
      <c r="A2051">
        <v>2050</v>
      </c>
      <c r="B2051" s="7">
        <v>324484.15688425687</v>
      </c>
      <c r="C2051">
        <f t="shared" ref="C2051:C2114" si="32">IF(B2051=0,0,1)</f>
        <v>1</v>
      </c>
    </row>
    <row r="2052" spans="1:3" x14ac:dyDescent="0.3">
      <c r="A2052">
        <v>2051</v>
      </c>
      <c r="B2052" s="7">
        <v>9809861.1823441237</v>
      </c>
      <c r="C2052">
        <f t="shared" si="32"/>
        <v>1</v>
      </c>
    </row>
    <row r="2053" spans="1:3" x14ac:dyDescent="0.3">
      <c r="A2053">
        <v>2052</v>
      </c>
      <c r="B2053" s="7">
        <v>994406.55733632413</v>
      </c>
      <c r="C2053">
        <f t="shared" si="32"/>
        <v>1</v>
      </c>
    </row>
    <row r="2054" spans="1:3" x14ac:dyDescent="0.3">
      <c r="A2054">
        <v>2053</v>
      </c>
      <c r="B2054" s="7">
        <v>3653149.3166567096</v>
      </c>
      <c r="C2054">
        <f t="shared" si="32"/>
        <v>1</v>
      </c>
    </row>
    <row r="2055" spans="1:3" x14ac:dyDescent="0.3">
      <c r="A2055">
        <v>2054</v>
      </c>
      <c r="B2055" s="7">
        <v>570438.46838605113</v>
      </c>
      <c r="C2055">
        <f t="shared" si="32"/>
        <v>1</v>
      </c>
    </row>
    <row r="2056" spans="1:3" x14ac:dyDescent="0.3">
      <c r="A2056">
        <v>2055</v>
      </c>
      <c r="B2056" s="7">
        <v>8111367.0404968224</v>
      </c>
      <c r="C2056">
        <f t="shared" si="32"/>
        <v>1</v>
      </c>
    </row>
    <row r="2057" spans="1:3" x14ac:dyDescent="0.3">
      <c r="A2057">
        <v>2056</v>
      </c>
      <c r="B2057" s="7">
        <v>5723241.4560301872</v>
      </c>
      <c r="C2057">
        <f t="shared" si="32"/>
        <v>1</v>
      </c>
    </row>
    <row r="2058" spans="1:3" x14ac:dyDescent="0.3">
      <c r="A2058">
        <v>2057</v>
      </c>
      <c r="B2058" s="7">
        <v>5305713.9336888567</v>
      </c>
      <c r="C2058">
        <f t="shared" si="32"/>
        <v>1</v>
      </c>
    </row>
    <row r="2059" spans="1:3" x14ac:dyDescent="0.3">
      <c r="A2059">
        <v>2058</v>
      </c>
      <c r="B2059" s="7">
        <v>4928979.7470814688</v>
      </c>
      <c r="C2059">
        <f t="shared" si="32"/>
        <v>1</v>
      </c>
    </row>
    <row r="2060" spans="1:3" x14ac:dyDescent="0.3">
      <c r="A2060">
        <v>2059</v>
      </c>
      <c r="B2060" s="7">
        <v>3894453.8091636803</v>
      </c>
      <c r="C2060">
        <f t="shared" si="32"/>
        <v>1</v>
      </c>
    </row>
    <row r="2061" spans="1:3" x14ac:dyDescent="0.3">
      <c r="A2061">
        <v>2060</v>
      </c>
      <c r="B2061" s="7">
        <v>3459433.0838444224</v>
      </c>
      <c r="C2061">
        <f t="shared" si="32"/>
        <v>1</v>
      </c>
    </row>
    <row r="2062" spans="1:3" x14ac:dyDescent="0.3">
      <c r="A2062">
        <v>2061</v>
      </c>
      <c r="B2062" s="7">
        <v>2590012.7824534164</v>
      </c>
      <c r="C2062">
        <f t="shared" si="32"/>
        <v>1</v>
      </c>
    </row>
    <row r="2063" spans="1:3" x14ac:dyDescent="0.3">
      <c r="A2063">
        <v>2062</v>
      </c>
      <c r="B2063" s="7">
        <v>24571051.973657373</v>
      </c>
      <c r="C2063">
        <f t="shared" si="32"/>
        <v>1</v>
      </c>
    </row>
    <row r="2064" spans="1:3" x14ac:dyDescent="0.3">
      <c r="A2064">
        <v>2063</v>
      </c>
      <c r="B2064" s="7">
        <v>15365478.518160278</v>
      </c>
      <c r="C2064">
        <f t="shared" si="32"/>
        <v>1</v>
      </c>
    </row>
    <row r="2065" spans="1:3" x14ac:dyDescent="0.3">
      <c r="A2065">
        <v>2064</v>
      </c>
      <c r="B2065" s="7">
        <v>834591.39231872046</v>
      </c>
      <c r="C2065">
        <f t="shared" si="32"/>
        <v>1</v>
      </c>
    </row>
    <row r="2066" spans="1:3" x14ac:dyDescent="0.3">
      <c r="A2066">
        <v>2065</v>
      </c>
      <c r="B2066" s="7">
        <v>6384608.263398801</v>
      </c>
      <c r="C2066">
        <f t="shared" si="32"/>
        <v>1</v>
      </c>
    </row>
    <row r="2067" spans="1:3" x14ac:dyDescent="0.3">
      <c r="A2067">
        <v>2066</v>
      </c>
      <c r="B2067" s="7">
        <v>6699815.5910275755</v>
      </c>
      <c r="C2067">
        <f t="shared" si="32"/>
        <v>1</v>
      </c>
    </row>
    <row r="2068" spans="1:3" x14ac:dyDescent="0.3">
      <c r="A2068">
        <v>2067</v>
      </c>
      <c r="B2068" s="7">
        <v>8630403.2508920208</v>
      </c>
      <c r="C2068">
        <f t="shared" si="32"/>
        <v>1</v>
      </c>
    </row>
    <row r="2069" spans="1:3" x14ac:dyDescent="0.3">
      <c r="A2069">
        <v>2068</v>
      </c>
      <c r="B2069" s="7">
        <v>749006.30925304152</v>
      </c>
      <c r="C2069">
        <f t="shared" si="32"/>
        <v>1</v>
      </c>
    </row>
    <row r="2070" spans="1:3" x14ac:dyDescent="0.3">
      <c r="A2070">
        <v>2069</v>
      </c>
      <c r="B2070" s="7">
        <v>2563594.9165108199</v>
      </c>
      <c r="C2070">
        <f t="shared" si="32"/>
        <v>1</v>
      </c>
    </row>
    <row r="2071" spans="1:3" x14ac:dyDescent="0.3">
      <c r="A2071">
        <v>2070</v>
      </c>
      <c r="B2071" s="7">
        <v>11816949.221068393</v>
      </c>
      <c r="C2071">
        <f t="shared" si="32"/>
        <v>1</v>
      </c>
    </row>
    <row r="2072" spans="1:3" x14ac:dyDescent="0.3">
      <c r="A2072">
        <v>2071</v>
      </c>
      <c r="B2072" s="7">
        <v>1262474.0843651276</v>
      </c>
      <c r="C2072">
        <f t="shared" si="32"/>
        <v>1</v>
      </c>
    </row>
    <row r="2073" spans="1:3" x14ac:dyDescent="0.3">
      <c r="A2073">
        <v>2072</v>
      </c>
      <c r="B2073" s="7">
        <v>12684658.261983223</v>
      </c>
      <c r="C2073">
        <f t="shared" si="32"/>
        <v>1</v>
      </c>
    </row>
    <row r="2074" spans="1:3" x14ac:dyDescent="0.3">
      <c r="A2074">
        <v>2073</v>
      </c>
      <c r="B2074" s="7">
        <v>3710586.5602192977</v>
      </c>
      <c r="C2074">
        <f t="shared" si="32"/>
        <v>1</v>
      </c>
    </row>
    <row r="2075" spans="1:3" x14ac:dyDescent="0.3">
      <c r="A2075">
        <v>2074</v>
      </c>
      <c r="B2075" s="7">
        <v>8471911.1860758457</v>
      </c>
      <c r="C2075">
        <f t="shared" si="32"/>
        <v>1</v>
      </c>
    </row>
    <row r="2076" spans="1:3" x14ac:dyDescent="0.3">
      <c r="A2076">
        <v>2075</v>
      </c>
      <c r="B2076" s="7">
        <v>838959.19930769713</v>
      </c>
      <c r="C2076">
        <f t="shared" si="32"/>
        <v>1</v>
      </c>
    </row>
    <row r="2077" spans="1:3" x14ac:dyDescent="0.3">
      <c r="A2077">
        <v>2076</v>
      </c>
      <c r="B2077" s="7">
        <v>22620645.729074124</v>
      </c>
      <c r="C2077">
        <f t="shared" si="32"/>
        <v>1</v>
      </c>
    </row>
    <row r="2078" spans="1:3" x14ac:dyDescent="0.3">
      <c r="A2078">
        <v>2077</v>
      </c>
      <c r="B2078" s="7">
        <v>18680437.372912802</v>
      </c>
      <c r="C2078">
        <f t="shared" si="32"/>
        <v>1</v>
      </c>
    </row>
    <row r="2079" spans="1:3" x14ac:dyDescent="0.3">
      <c r="A2079">
        <v>2078</v>
      </c>
      <c r="B2079" s="7">
        <v>27439019.699754793</v>
      </c>
      <c r="C2079">
        <f t="shared" si="32"/>
        <v>1</v>
      </c>
    </row>
    <row r="2080" spans="1:3" x14ac:dyDescent="0.3">
      <c r="A2080">
        <v>2079</v>
      </c>
      <c r="B2080" s="7">
        <v>10883427.255332531</v>
      </c>
      <c r="C2080">
        <f t="shared" si="32"/>
        <v>1</v>
      </c>
    </row>
    <row r="2081" spans="1:3" x14ac:dyDescent="0.3">
      <c r="A2081">
        <v>2080</v>
      </c>
      <c r="B2081" s="7">
        <v>5402532.7514704503</v>
      </c>
      <c r="C2081">
        <f t="shared" si="32"/>
        <v>1</v>
      </c>
    </row>
    <row r="2082" spans="1:3" x14ac:dyDescent="0.3">
      <c r="A2082">
        <v>2081</v>
      </c>
      <c r="B2082" s="7">
        <v>14132468.046862269</v>
      </c>
      <c r="C2082">
        <f t="shared" si="32"/>
        <v>1</v>
      </c>
    </row>
    <row r="2083" spans="1:3" x14ac:dyDescent="0.3">
      <c r="A2083">
        <v>2082</v>
      </c>
      <c r="B2083" s="7">
        <v>10400668.94903918</v>
      </c>
      <c r="C2083">
        <f t="shared" si="32"/>
        <v>1</v>
      </c>
    </row>
    <row r="2084" spans="1:3" x14ac:dyDescent="0.3">
      <c r="A2084">
        <v>2083</v>
      </c>
      <c r="B2084" s="7">
        <v>1892248.4025063894</v>
      </c>
      <c r="C2084">
        <f t="shared" si="32"/>
        <v>1</v>
      </c>
    </row>
    <row r="2085" spans="1:3" x14ac:dyDescent="0.3">
      <c r="A2085">
        <v>2084</v>
      </c>
      <c r="B2085" s="7">
        <v>4449265.2909898302</v>
      </c>
      <c r="C2085">
        <f t="shared" si="32"/>
        <v>1</v>
      </c>
    </row>
    <row r="2086" spans="1:3" x14ac:dyDescent="0.3">
      <c r="A2086">
        <v>2085</v>
      </c>
      <c r="B2086" s="7">
        <v>5505075.2104454013</v>
      </c>
      <c r="C2086">
        <f t="shared" si="32"/>
        <v>1</v>
      </c>
    </row>
    <row r="2087" spans="1:3" x14ac:dyDescent="0.3">
      <c r="A2087">
        <v>2086</v>
      </c>
      <c r="B2087" s="7">
        <v>12603551.054504316</v>
      </c>
      <c r="C2087">
        <f t="shared" si="32"/>
        <v>1</v>
      </c>
    </row>
    <row r="2088" spans="1:3" x14ac:dyDescent="0.3">
      <c r="A2088">
        <v>2087</v>
      </c>
      <c r="B2088" s="7">
        <v>1662901.8646843664</v>
      </c>
      <c r="C2088">
        <f t="shared" si="32"/>
        <v>1</v>
      </c>
    </row>
    <row r="2089" spans="1:3" x14ac:dyDescent="0.3">
      <c r="A2089">
        <v>2088</v>
      </c>
      <c r="B2089" s="7">
        <v>341537.40356516716</v>
      </c>
      <c r="C2089">
        <f t="shared" si="32"/>
        <v>1</v>
      </c>
    </row>
    <row r="2090" spans="1:3" x14ac:dyDescent="0.3">
      <c r="A2090">
        <v>2089</v>
      </c>
      <c r="B2090" s="7">
        <v>4373313.6105323834</v>
      </c>
      <c r="C2090">
        <f t="shared" si="32"/>
        <v>1</v>
      </c>
    </row>
    <row r="2091" spans="1:3" x14ac:dyDescent="0.3">
      <c r="A2091">
        <v>2090</v>
      </c>
      <c r="B2091" s="7">
        <v>5879895.4957466861</v>
      </c>
      <c r="C2091">
        <f t="shared" si="32"/>
        <v>1</v>
      </c>
    </row>
    <row r="2092" spans="1:3" x14ac:dyDescent="0.3">
      <c r="A2092">
        <v>2091</v>
      </c>
      <c r="B2092" s="7">
        <v>3806777.4903846071</v>
      </c>
      <c r="C2092">
        <f t="shared" si="32"/>
        <v>1</v>
      </c>
    </row>
    <row r="2093" spans="1:3" x14ac:dyDescent="0.3">
      <c r="A2093">
        <v>2092</v>
      </c>
      <c r="B2093" s="7">
        <v>2211306.0558907725</v>
      </c>
      <c r="C2093">
        <f t="shared" si="32"/>
        <v>1</v>
      </c>
    </row>
    <row r="2094" spans="1:3" x14ac:dyDescent="0.3">
      <c r="A2094">
        <v>2093</v>
      </c>
      <c r="B2094" s="7">
        <v>246512.98732611499</v>
      </c>
      <c r="C2094">
        <f t="shared" si="32"/>
        <v>1</v>
      </c>
    </row>
    <row r="2095" spans="1:3" x14ac:dyDescent="0.3">
      <c r="A2095">
        <v>2094</v>
      </c>
      <c r="B2095" s="7">
        <v>10905248.058538029</v>
      </c>
      <c r="C2095">
        <f t="shared" si="32"/>
        <v>1</v>
      </c>
    </row>
    <row r="2096" spans="1:3" x14ac:dyDescent="0.3">
      <c r="A2096">
        <v>2095</v>
      </c>
      <c r="B2096" s="7">
        <v>9305977.5762906112</v>
      </c>
      <c r="C2096">
        <f t="shared" si="32"/>
        <v>1</v>
      </c>
    </row>
    <row r="2097" spans="1:3" x14ac:dyDescent="0.3">
      <c r="A2097">
        <v>2096</v>
      </c>
      <c r="B2097" s="7">
        <v>8032263.9570208779</v>
      </c>
      <c r="C2097">
        <f t="shared" si="32"/>
        <v>1</v>
      </c>
    </row>
    <row r="2098" spans="1:3" x14ac:dyDescent="0.3">
      <c r="A2098">
        <v>2097</v>
      </c>
      <c r="B2098" s="7">
        <v>2545041.0392846991</v>
      </c>
      <c r="C2098">
        <f t="shared" si="32"/>
        <v>1</v>
      </c>
    </row>
    <row r="2099" spans="1:3" x14ac:dyDescent="0.3">
      <c r="A2099">
        <v>2098</v>
      </c>
      <c r="B2099" s="7">
        <v>1477678.7566412084</v>
      </c>
      <c r="C2099">
        <f t="shared" si="32"/>
        <v>1</v>
      </c>
    </row>
    <row r="2100" spans="1:3" x14ac:dyDescent="0.3">
      <c r="A2100">
        <v>2099</v>
      </c>
      <c r="B2100" s="7">
        <v>654446.14221976383</v>
      </c>
      <c r="C2100">
        <f t="shared" si="32"/>
        <v>1</v>
      </c>
    </row>
    <row r="2101" spans="1:3" x14ac:dyDescent="0.3">
      <c r="A2101">
        <v>2100</v>
      </c>
      <c r="B2101" s="7">
        <v>6724974.3527902905</v>
      </c>
      <c r="C2101">
        <f t="shared" si="32"/>
        <v>1</v>
      </c>
    </row>
    <row r="2102" spans="1:3" x14ac:dyDescent="0.3">
      <c r="A2102">
        <v>2101</v>
      </c>
      <c r="B2102" s="7">
        <v>21340552.176813848</v>
      </c>
      <c r="C2102">
        <f t="shared" si="32"/>
        <v>1</v>
      </c>
    </row>
    <row r="2103" spans="1:3" x14ac:dyDescent="0.3">
      <c r="A2103">
        <v>2102</v>
      </c>
      <c r="B2103" s="7">
        <v>1868698.4807782273</v>
      </c>
      <c r="C2103">
        <f t="shared" si="32"/>
        <v>1</v>
      </c>
    </row>
    <row r="2104" spans="1:3" x14ac:dyDescent="0.3">
      <c r="A2104">
        <v>2103</v>
      </c>
      <c r="B2104" s="7">
        <v>41464.232403618007</v>
      </c>
      <c r="C2104">
        <f t="shared" si="32"/>
        <v>1</v>
      </c>
    </row>
    <row r="2105" spans="1:3" x14ac:dyDescent="0.3">
      <c r="A2105">
        <v>2104</v>
      </c>
      <c r="B2105" s="7">
        <v>1162278.9891321743</v>
      </c>
      <c r="C2105">
        <f t="shared" si="32"/>
        <v>1</v>
      </c>
    </row>
    <row r="2106" spans="1:3" x14ac:dyDescent="0.3">
      <c r="A2106">
        <v>2105</v>
      </c>
      <c r="B2106" s="7">
        <v>3898397.7201294685</v>
      </c>
      <c r="C2106">
        <f t="shared" si="32"/>
        <v>1</v>
      </c>
    </row>
    <row r="2107" spans="1:3" x14ac:dyDescent="0.3">
      <c r="A2107">
        <v>2106</v>
      </c>
      <c r="B2107" s="7">
        <v>13552611.629943803</v>
      </c>
      <c r="C2107">
        <f t="shared" si="32"/>
        <v>1</v>
      </c>
    </row>
    <row r="2108" spans="1:3" x14ac:dyDescent="0.3">
      <c r="A2108">
        <v>2107</v>
      </c>
      <c r="B2108" s="7">
        <v>14584910.697156657</v>
      </c>
      <c r="C2108">
        <f t="shared" si="32"/>
        <v>1</v>
      </c>
    </row>
    <row r="2109" spans="1:3" x14ac:dyDescent="0.3">
      <c r="A2109">
        <v>2108</v>
      </c>
      <c r="B2109" s="7">
        <v>7949356.5264554201</v>
      </c>
      <c r="C2109">
        <f t="shared" si="32"/>
        <v>1</v>
      </c>
    </row>
    <row r="2110" spans="1:3" x14ac:dyDescent="0.3">
      <c r="A2110">
        <v>2109</v>
      </c>
      <c r="B2110" s="7">
        <v>2438206.3457767349</v>
      </c>
      <c r="C2110">
        <f t="shared" si="32"/>
        <v>1</v>
      </c>
    </row>
    <row r="2111" spans="1:3" x14ac:dyDescent="0.3">
      <c r="A2111">
        <v>2110</v>
      </c>
      <c r="B2111" s="7">
        <v>4621152.868543487</v>
      </c>
      <c r="C2111">
        <f t="shared" si="32"/>
        <v>1</v>
      </c>
    </row>
    <row r="2112" spans="1:3" x14ac:dyDescent="0.3">
      <c r="A2112">
        <v>2111</v>
      </c>
      <c r="B2112" s="7">
        <v>6141839.8713945607</v>
      </c>
      <c r="C2112">
        <f t="shared" si="32"/>
        <v>1</v>
      </c>
    </row>
    <row r="2113" spans="1:3" x14ac:dyDescent="0.3">
      <c r="A2113">
        <v>2112</v>
      </c>
      <c r="B2113" s="7">
        <v>6140443.7941162018</v>
      </c>
      <c r="C2113">
        <f t="shared" si="32"/>
        <v>1</v>
      </c>
    </row>
    <row r="2114" spans="1:3" x14ac:dyDescent="0.3">
      <c r="A2114">
        <v>2113</v>
      </c>
      <c r="B2114" s="7">
        <v>5880943.8205226203</v>
      </c>
      <c r="C2114">
        <f t="shared" si="32"/>
        <v>1</v>
      </c>
    </row>
    <row r="2115" spans="1:3" x14ac:dyDescent="0.3">
      <c r="A2115">
        <v>2114</v>
      </c>
      <c r="B2115" s="7">
        <v>2573674.7205634387</v>
      </c>
      <c r="C2115">
        <f t="shared" ref="C2115:C2178" si="33">IF(B2115=0,0,1)</f>
        <v>1</v>
      </c>
    </row>
    <row r="2116" spans="1:3" x14ac:dyDescent="0.3">
      <c r="A2116">
        <v>2115</v>
      </c>
      <c r="B2116" s="7">
        <v>1183699.2960465364</v>
      </c>
      <c r="C2116">
        <f t="shared" si="33"/>
        <v>1</v>
      </c>
    </row>
    <row r="2117" spans="1:3" x14ac:dyDescent="0.3">
      <c r="A2117">
        <v>2116</v>
      </c>
      <c r="B2117" s="7">
        <v>5455774.5529313218</v>
      </c>
      <c r="C2117">
        <f t="shared" si="33"/>
        <v>1</v>
      </c>
    </row>
    <row r="2118" spans="1:3" x14ac:dyDescent="0.3">
      <c r="A2118">
        <v>2117</v>
      </c>
      <c r="B2118" s="7">
        <v>1007409.5608031614</v>
      </c>
      <c r="C2118">
        <f t="shared" si="33"/>
        <v>1</v>
      </c>
    </row>
    <row r="2119" spans="1:3" x14ac:dyDescent="0.3">
      <c r="A2119">
        <v>2118</v>
      </c>
      <c r="B2119" s="7">
        <v>584674.9733189299</v>
      </c>
      <c r="C2119">
        <f t="shared" si="33"/>
        <v>1</v>
      </c>
    </row>
    <row r="2120" spans="1:3" x14ac:dyDescent="0.3">
      <c r="A2120">
        <v>2119</v>
      </c>
      <c r="B2120" s="7">
        <v>5890390.2630728036</v>
      </c>
      <c r="C2120">
        <f t="shared" si="33"/>
        <v>1</v>
      </c>
    </row>
    <row r="2121" spans="1:3" x14ac:dyDescent="0.3">
      <c r="A2121">
        <v>2120</v>
      </c>
      <c r="B2121" s="7">
        <v>8608151.5879007094</v>
      </c>
      <c r="C2121">
        <f t="shared" si="33"/>
        <v>1</v>
      </c>
    </row>
    <row r="2122" spans="1:3" x14ac:dyDescent="0.3">
      <c r="A2122">
        <v>2121</v>
      </c>
      <c r="B2122" s="7">
        <v>8658941.6272749174</v>
      </c>
      <c r="C2122">
        <f t="shared" si="33"/>
        <v>1</v>
      </c>
    </row>
    <row r="2123" spans="1:3" x14ac:dyDescent="0.3">
      <c r="A2123">
        <v>2122</v>
      </c>
      <c r="B2123" s="7">
        <v>8580887.6384896208</v>
      </c>
      <c r="C2123">
        <f t="shared" si="33"/>
        <v>1</v>
      </c>
    </row>
    <row r="2124" spans="1:3" x14ac:dyDescent="0.3">
      <c r="A2124">
        <v>2123</v>
      </c>
      <c r="B2124" s="7">
        <v>17046724.558523335</v>
      </c>
      <c r="C2124">
        <f t="shared" si="33"/>
        <v>1</v>
      </c>
    </row>
    <row r="2125" spans="1:3" x14ac:dyDescent="0.3">
      <c r="A2125">
        <v>2124</v>
      </c>
      <c r="B2125" s="7">
        <v>8328721.896552003</v>
      </c>
      <c r="C2125">
        <f t="shared" si="33"/>
        <v>1</v>
      </c>
    </row>
    <row r="2126" spans="1:3" x14ac:dyDescent="0.3">
      <c r="A2126">
        <v>2125</v>
      </c>
      <c r="B2126" s="7">
        <v>12059661.446978096</v>
      </c>
      <c r="C2126">
        <f t="shared" si="33"/>
        <v>1</v>
      </c>
    </row>
    <row r="2127" spans="1:3" x14ac:dyDescent="0.3">
      <c r="A2127">
        <v>2126</v>
      </c>
      <c r="B2127" s="7">
        <v>2978905.2103763116</v>
      </c>
      <c r="C2127">
        <f t="shared" si="33"/>
        <v>1</v>
      </c>
    </row>
    <row r="2128" spans="1:3" x14ac:dyDescent="0.3">
      <c r="A2128">
        <v>2127</v>
      </c>
      <c r="B2128" s="7">
        <v>6405847.0948951244</v>
      </c>
      <c r="C2128">
        <f t="shared" si="33"/>
        <v>1</v>
      </c>
    </row>
    <row r="2129" spans="1:3" x14ac:dyDescent="0.3">
      <c r="A2129">
        <v>2128</v>
      </c>
      <c r="B2129" s="7">
        <v>4154585.3897700575</v>
      </c>
      <c r="C2129">
        <f t="shared" si="33"/>
        <v>1</v>
      </c>
    </row>
    <row r="2130" spans="1:3" x14ac:dyDescent="0.3">
      <c r="A2130">
        <v>2129</v>
      </c>
      <c r="B2130" s="7">
        <v>12860984.897083908</v>
      </c>
      <c r="C2130">
        <f t="shared" si="33"/>
        <v>1</v>
      </c>
    </row>
    <row r="2131" spans="1:3" x14ac:dyDescent="0.3">
      <c r="A2131">
        <v>2130</v>
      </c>
      <c r="B2131" s="7">
        <v>9302252.3996349964</v>
      </c>
      <c r="C2131">
        <f t="shared" si="33"/>
        <v>1</v>
      </c>
    </row>
    <row r="2132" spans="1:3" x14ac:dyDescent="0.3">
      <c r="A2132">
        <v>2131</v>
      </c>
      <c r="B2132" s="7">
        <v>12333697.04370806</v>
      </c>
      <c r="C2132">
        <f t="shared" si="33"/>
        <v>1</v>
      </c>
    </row>
    <row r="2133" spans="1:3" x14ac:dyDescent="0.3">
      <c r="A2133">
        <v>2132</v>
      </c>
      <c r="B2133" s="7">
        <v>2579286.2160967966</v>
      </c>
      <c r="C2133">
        <f t="shared" si="33"/>
        <v>1</v>
      </c>
    </row>
    <row r="2134" spans="1:3" x14ac:dyDescent="0.3">
      <c r="A2134">
        <v>2133</v>
      </c>
      <c r="B2134" s="7">
        <v>4140041.4366146536</v>
      </c>
      <c r="C2134">
        <f t="shared" si="33"/>
        <v>1</v>
      </c>
    </row>
    <row r="2135" spans="1:3" x14ac:dyDescent="0.3">
      <c r="A2135">
        <v>2134</v>
      </c>
      <c r="B2135" s="7">
        <v>6400469.2319279723</v>
      </c>
      <c r="C2135">
        <f t="shared" si="33"/>
        <v>1</v>
      </c>
    </row>
    <row r="2136" spans="1:3" x14ac:dyDescent="0.3">
      <c r="A2136">
        <v>2135</v>
      </c>
      <c r="B2136" s="7">
        <v>1744819.2753567633</v>
      </c>
      <c r="C2136">
        <f t="shared" si="33"/>
        <v>1</v>
      </c>
    </row>
    <row r="2137" spans="1:3" x14ac:dyDescent="0.3">
      <c r="A2137">
        <v>2136</v>
      </c>
      <c r="B2137" s="7">
        <v>5345159.0063067926</v>
      </c>
      <c r="C2137">
        <f t="shared" si="33"/>
        <v>1</v>
      </c>
    </row>
    <row r="2138" spans="1:3" x14ac:dyDescent="0.3">
      <c r="A2138">
        <v>2137</v>
      </c>
      <c r="B2138" s="7">
        <v>2972327.7603195854</v>
      </c>
      <c r="C2138">
        <f t="shared" si="33"/>
        <v>1</v>
      </c>
    </row>
    <row r="2139" spans="1:3" x14ac:dyDescent="0.3">
      <c r="A2139">
        <v>2138</v>
      </c>
      <c r="B2139" s="7">
        <v>16214070.369076986</v>
      </c>
      <c r="C2139">
        <f t="shared" si="33"/>
        <v>1</v>
      </c>
    </row>
    <row r="2140" spans="1:3" x14ac:dyDescent="0.3">
      <c r="A2140">
        <v>2139</v>
      </c>
      <c r="B2140" s="7">
        <v>665250.45601832878</v>
      </c>
      <c r="C2140">
        <f t="shared" si="33"/>
        <v>1</v>
      </c>
    </row>
    <row r="2141" spans="1:3" x14ac:dyDescent="0.3">
      <c r="A2141">
        <v>2140</v>
      </c>
      <c r="B2141" s="7">
        <v>1594290.6042100978</v>
      </c>
      <c r="C2141">
        <f t="shared" si="33"/>
        <v>1</v>
      </c>
    </row>
    <row r="2142" spans="1:3" x14ac:dyDescent="0.3">
      <c r="A2142">
        <v>2141</v>
      </c>
      <c r="B2142" s="7">
        <v>2507562.3066971353</v>
      </c>
      <c r="C2142">
        <f t="shared" si="33"/>
        <v>1</v>
      </c>
    </row>
    <row r="2143" spans="1:3" x14ac:dyDescent="0.3">
      <c r="A2143">
        <v>2142</v>
      </c>
      <c r="B2143" s="7">
        <v>3840717.50274048</v>
      </c>
      <c r="C2143">
        <f t="shared" si="33"/>
        <v>1</v>
      </c>
    </row>
    <row r="2144" spans="1:3" x14ac:dyDescent="0.3">
      <c r="A2144">
        <v>2143</v>
      </c>
      <c r="B2144" s="7">
        <v>28062031.063176688</v>
      </c>
      <c r="C2144">
        <f t="shared" si="33"/>
        <v>1</v>
      </c>
    </row>
    <row r="2145" spans="1:3" x14ac:dyDescent="0.3">
      <c r="A2145">
        <v>2144</v>
      </c>
      <c r="B2145" s="7">
        <v>4466450.0857447553</v>
      </c>
      <c r="C2145">
        <f t="shared" si="33"/>
        <v>1</v>
      </c>
    </row>
    <row r="2146" spans="1:3" x14ac:dyDescent="0.3">
      <c r="A2146">
        <v>2145</v>
      </c>
      <c r="B2146" s="7">
        <v>9710512.5832800474</v>
      </c>
      <c r="C2146">
        <f t="shared" si="33"/>
        <v>1</v>
      </c>
    </row>
    <row r="2147" spans="1:3" x14ac:dyDescent="0.3">
      <c r="A2147">
        <v>2146</v>
      </c>
      <c r="B2147" s="7">
        <v>14830300.063378183</v>
      </c>
      <c r="C2147">
        <f t="shared" si="33"/>
        <v>1</v>
      </c>
    </row>
    <row r="2148" spans="1:3" x14ac:dyDescent="0.3">
      <c r="A2148">
        <v>2147</v>
      </c>
      <c r="B2148" s="7">
        <v>12152092.923664758</v>
      </c>
      <c r="C2148">
        <f t="shared" si="33"/>
        <v>1</v>
      </c>
    </row>
    <row r="2149" spans="1:3" x14ac:dyDescent="0.3">
      <c r="A2149">
        <v>2148</v>
      </c>
      <c r="B2149" s="7">
        <v>19883244.786032584</v>
      </c>
      <c r="C2149">
        <f t="shared" si="33"/>
        <v>1</v>
      </c>
    </row>
    <row r="2150" spans="1:3" x14ac:dyDescent="0.3">
      <c r="A2150">
        <v>2149</v>
      </c>
      <c r="B2150" s="7">
        <v>9391859.4308208674</v>
      </c>
      <c r="C2150">
        <f t="shared" si="33"/>
        <v>1</v>
      </c>
    </row>
    <row r="2151" spans="1:3" x14ac:dyDescent="0.3">
      <c r="A2151">
        <v>2150</v>
      </c>
      <c r="B2151" s="7">
        <v>12013392.275806062</v>
      </c>
      <c r="C2151">
        <f t="shared" si="33"/>
        <v>1</v>
      </c>
    </row>
    <row r="2152" spans="1:3" x14ac:dyDescent="0.3">
      <c r="A2152">
        <v>2151</v>
      </c>
      <c r="B2152" s="7">
        <v>5623389.856055812</v>
      </c>
      <c r="C2152">
        <f t="shared" si="33"/>
        <v>1</v>
      </c>
    </row>
    <row r="2153" spans="1:3" x14ac:dyDescent="0.3">
      <c r="A2153">
        <v>2152</v>
      </c>
      <c r="B2153" s="7">
        <v>3802165.0043539265</v>
      </c>
      <c r="C2153">
        <f t="shared" si="33"/>
        <v>1</v>
      </c>
    </row>
    <row r="2154" spans="1:3" x14ac:dyDescent="0.3">
      <c r="A2154">
        <v>2153</v>
      </c>
      <c r="B2154" s="7">
        <v>3414505.1024286817</v>
      </c>
      <c r="C2154">
        <f t="shared" si="33"/>
        <v>1</v>
      </c>
    </row>
    <row r="2155" spans="1:3" x14ac:dyDescent="0.3">
      <c r="A2155">
        <v>2154</v>
      </c>
      <c r="B2155" s="7">
        <v>2887241.4776357356</v>
      </c>
      <c r="C2155">
        <f t="shared" si="33"/>
        <v>1</v>
      </c>
    </row>
    <row r="2156" spans="1:3" x14ac:dyDescent="0.3">
      <c r="A2156">
        <v>2155</v>
      </c>
      <c r="B2156" s="7">
        <v>18026886.813797727</v>
      </c>
      <c r="C2156">
        <f t="shared" si="33"/>
        <v>1</v>
      </c>
    </row>
    <row r="2157" spans="1:3" x14ac:dyDescent="0.3">
      <c r="A2157">
        <v>2156</v>
      </c>
      <c r="B2157" s="7">
        <v>8108340.5017135907</v>
      </c>
      <c r="C2157">
        <f t="shared" si="33"/>
        <v>1</v>
      </c>
    </row>
    <row r="2158" spans="1:3" x14ac:dyDescent="0.3">
      <c r="A2158">
        <v>2157</v>
      </c>
      <c r="B2158" s="7">
        <v>0</v>
      </c>
      <c r="C2158">
        <f t="shared" si="33"/>
        <v>0</v>
      </c>
    </row>
    <row r="2159" spans="1:3" x14ac:dyDescent="0.3">
      <c r="A2159">
        <v>2158</v>
      </c>
      <c r="B2159" s="7">
        <v>267085.10914599191</v>
      </c>
      <c r="C2159">
        <f t="shared" si="33"/>
        <v>1</v>
      </c>
    </row>
    <row r="2160" spans="1:3" x14ac:dyDescent="0.3">
      <c r="A2160">
        <v>2159</v>
      </c>
      <c r="B2160" s="7">
        <v>5022548.8726003701</v>
      </c>
      <c r="C2160">
        <f t="shared" si="33"/>
        <v>1</v>
      </c>
    </row>
    <row r="2161" spans="1:3" x14ac:dyDescent="0.3">
      <c r="A2161">
        <v>2160</v>
      </c>
      <c r="B2161" s="7">
        <v>11957803.722031428</v>
      </c>
      <c r="C2161">
        <f t="shared" si="33"/>
        <v>1</v>
      </c>
    </row>
    <row r="2162" spans="1:3" x14ac:dyDescent="0.3">
      <c r="A2162">
        <v>2161</v>
      </c>
      <c r="B2162" s="7">
        <v>0</v>
      </c>
      <c r="C2162">
        <f t="shared" si="33"/>
        <v>0</v>
      </c>
    </row>
    <row r="2163" spans="1:3" x14ac:dyDescent="0.3">
      <c r="A2163">
        <v>2162</v>
      </c>
      <c r="B2163" s="7">
        <v>13480376.603477517</v>
      </c>
      <c r="C2163">
        <f t="shared" si="33"/>
        <v>1</v>
      </c>
    </row>
    <row r="2164" spans="1:3" x14ac:dyDescent="0.3">
      <c r="A2164">
        <v>2163</v>
      </c>
      <c r="B2164" s="7">
        <v>6880711.4656561762</v>
      </c>
      <c r="C2164">
        <f t="shared" si="33"/>
        <v>1</v>
      </c>
    </row>
    <row r="2165" spans="1:3" x14ac:dyDescent="0.3">
      <c r="A2165">
        <v>2164</v>
      </c>
      <c r="B2165" s="7">
        <v>10014276.3473821</v>
      </c>
      <c r="C2165">
        <f t="shared" si="33"/>
        <v>1</v>
      </c>
    </row>
    <row r="2166" spans="1:3" x14ac:dyDescent="0.3">
      <c r="A2166">
        <v>2165</v>
      </c>
      <c r="B2166" s="7">
        <v>6154444.1533043738</v>
      </c>
      <c r="C2166">
        <f t="shared" si="33"/>
        <v>1</v>
      </c>
    </row>
    <row r="2167" spans="1:3" x14ac:dyDescent="0.3">
      <c r="A2167">
        <v>2166</v>
      </c>
      <c r="B2167" s="7">
        <v>7170307.7392023019</v>
      </c>
      <c r="C2167">
        <f t="shared" si="33"/>
        <v>1</v>
      </c>
    </row>
    <row r="2168" spans="1:3" x14ac:dyDescent="0.3">
      <c r="A2168">
        <v>2167</v>
      </c>
      <c r="B2168" s="7">
        <v>5101590.3514421796</v>
      </c>
      <c r="C2168">
        <f t="shared" si="33"/>
        <v>1</v>
      </c>
    </row>
    <row r="2169" spans="1:3" x14ac:dyDescent="0.3">
      <c r="A2169">
        <v>2168</v>
      </c>
      <c r="B2169" s="7">
        <v>11955306.258782484</v>
      </c>
      <c r="C2169">
        <f t="shared" si="33"/>
        <v>1</v>
      </c>
    </row>
    <row r="2170" spans="1:3" x14ac:dyDescent="0.3">
      <c r="A2170">
        <v>2169</v>
      </c>
      <c r="B2170" s="7">
        <v>4332334.8750258368</v>
      </c>
      <c r="C2170">
        <f t="shared" si="33"/>
        <v>1</v>
      </c>
    </row>
    <row r="2171" spans="1:3" x14ac:dyDescent="0.3">
      <c r="A2171">
        <v>2170</v>
      </c>
      <c r="B2171" s="7">
        <v>5030209.8164852848</v>
      </c>
      <c r="C2171">
        <f t="shared" si="33"/>
        <v>1</v>
      </c>
    </row>
    <row r="2172" spans="1:3" x14ac:dyDescent="0.3">
      <c r="A2172">
        <v>2171</v>
      </c>
      <c r="B2172" s="7">
        <v>6425741.3343172371</v>
      </c>
      <c r="C2172">
        <f t="shared" si="33"/>
        <v>1</v>
      </c>
    </row>
    <row r="2173" spans="1:3" x14ac:dyDescent="0.3">
      <c r="A2173">
        <v>2172</v>
      </c>
      <c r="B2173" s="7">
        <v>9316321.3834941052</v>
      </c>
      <c r="C2173">
        <f t="shared" si="33"/>
        <v>1</v>
      </c>
    </row>
    <row r="2174" spans="1:3" x14ac:dyDescent="0.3">
      <c r="A2174">
        <v>2173</v>
      </c>
      <c r="B2174" s="7">
        <v>2365720.8967164191</v>
      </c>
      <c r="C2174">
        <f t="shared" si="33"/>
        <v>1</v>
      </c>
    </row>
    <row r="2175" spans="1:3" x14ac:dyDescent="0.3">
      <c r="A2175">
        <v>2174</v>
      </c>
      <c r="B2175" s="7">
        <v>4611407.8142072251</v>
      </c>
      <c r="C2175">
        <f t="shared" si="33"/>
        <v>1</v>
      </c>
    </row>
    <row r="2176" spans="1:3" x14ac:dyDescent="0.3">
      <c r="A2176">
        <v>2175</v>
      </c>
      <c r="B2176" s="7">
        <v>2044300.9534547604</v>
      </c>
      <c r="C2176">
        <f t="shared" si="33"/>
        <v>1</v>
      </c>
    </row>
    <row r="2177" spans="1:3" x14ac:dyDescent="0.3">
      <c r="A2177">
        <v>2176</v>
      </c>
      <c r="B2177" s="7">
        <v>16185632.786179593</v>
      </c>
      <c r="C2177">
        <f t="shared" si="33"/>
        <v>1</v>
      </c>
    </row>
    <row r="2178" spans="1:3" x14ac:dyDescent="0.3">
      <c r="A2178">
        <v>2177</v>
      </c>
      <c r="B2178" s="7">
        <v>10634162.08163942</v>
      </c>
      <c r="C2178">
        <f t="shared" si="33"/>
        <v>1</v>
      </c>
    </row>
    <row r="2179" spans="1:3" x14ac:dyDescent="0.3">
      <c r="A2179">
        <v>2178</v>
      </c>
      <c r="B2179" s="7">
        <v>2947906.6831410453</v>
      </c>
      <c r="C2179">
        <f t="shared" ref="C2179:C2242" si="34">IF(B2179=0,0,1)</f>
        <v>1</v>
      </c>
    </row>
    <row r="2180" spans="1:3" x14ac:dyDescent="0.3">
      <c r="A2180">
        <v>2179</v>
      </c>
      <c r="B2180" s="7">
        <v>3481975.4292593533</v>
      </c>
      <c r="C2180">
        <f t="shared" si="34"/>
        <v>1</v>
      </c>
    </row>
    <row r="2181" spans="1:3" x14ac:dyDescent="0.3">
      <c r="A2181">
        <v>2180</v>
      </c>
      <c r="B2181" s="7">
        <v>2699872.8655811702</v>
      </c>
      <c r="C2181">
        <f t="shared" si="34"/>
        <v>1</v>
      </c>
    </row>
    <row r="2182" spans="1:3" x14ac:dyDescent="0.3">
      <c r="A2182">
        <v>2181</v>
      </c>
      <c r="B2182" s="7">
        <v>22964941.545155965</v>
      </c>
      <c r="C2182">
        <f t="shared" si="34"/>
        <v>1</v>
      </c>
    </row>
    <row r="2183" spans="1:3" x14ac:dyDescent="0.3">
      <c r="A2183">
        <v>2182</v>
      </c>
      <c r="B2183" s="7">
        <v>4204284.9861689499</v>
      </c>
      <c r="C2183">
        <f t="shared" si="34"/>
        <v>1</v>
      </c>
    </row>
    <row r="2184" spans="1:3" x14ac:dyDescent="0.3">
      <c r="A2184">
        <v>2183</v>
      </c>
      <c r="B2184" s="7">
        <v>2337457.8799805967</v>
      </c>
      <c r="C2184">
        <f t="shared" si="34"/>
        <v>1</v>
      </c>
    </row>
    <row r="2185" spans="1:3" x14ac:dyDescent="0.3">
      <c r="A2185">
        <v>2184</v>
      </c>
      <c r="B2185" s="7">
        <v>14864263.748060003</v>
      </c>
      <c r="C2185">
        <f t="shared" si="34"/>
        <v>1</v>
      </c>
    </row>
    <row r="2186" spans="1:3" x14ac:dyDescent="0.3">
      <c r="A2186">
        <v>2185</v>
      </c>
      <c r="B2186" s="7">
        <v>25385518.473044213</v>
      </c>
      <c r="C2186">
        <f t="shared" si="34"/>
        <v>1</v>
      </c>
    </row>
    <row r="2187" spans="1:3" x14ac:dyDescent="0.3">
      <c r="A2187">
        <v>2186</v>
      </c>
      <c r="B2187" s="7">
        <v>3779370.3431604197</v>
      </c>
      <c r="C2187">
        <f t="shared" si="34"/>
        <v>1</v>
      </c>
    </row>
    <row r="2188" spans="1:3" x14ac:dyDescent="0.3">
      <c r="A2188">
        <v>2187</v>
      </c>
      <c r="B2188" s="7">
        <v>15477340.19128643</v>
      </c>
      <c r="C2188">
        <f t="shared" si="34"/>
        <v>1</v>
      </c>
    </row>
    <row r="2189" spans="1:3" x14ac:dyDescent="0.3">
      <c r="A2189">
        <v>2188</v>
      </c>
      <c r="B2189" s="7">
        <v>1814677.5408450717</v>
      </c>
      <c r="C2189">
        <f t="shared" si="34"/>
        <v>1</v>
      </c>
    </row>
    <row r="2190" spans="1:3" x14ac:dyDescent="0.3">
      <c r="A2190">
        <v>2189</v>
      </c>
      <c r="B2190" s="7">
        <v>16070059.315754274</v>
      </c>
      <c r="C2190">
        <f t="shared" si="34"/>
        <v>1</v>
      </c>
    </row>
    <row r="2191" spans="1:3" x14ac:dyDescent="0.3">
      <c r="A2191">
        <v>2190</v>
      </c>
      <c r="B2191" s="7">
        <v>1968043.8592071251</v>
      </c>
      <c r="C2191">
        <f t="shared" si="34"/>
        <v>1</v>
      </c>
    </row>
    <row r="2192" spans="1:3" x14ac:dyDescent="0.3">
      <c r="A2192">
        <v>2191</v>
      </c>
      <c r="B2192" s="7">
        <v>1894865.1179440466</v>
      </c>
      <c r="C2192">
        <f t="shared" si="34"/>
        <v>1</v>
      </c>
    </row>
    <row r="2193" spans="1:3" x14ac:dyDescent="0.3">
      <c r="A2193">
        <v>2192</v>
      </c>
      <c r="B2193" s="7">
        <v>353832.99899444927</v>
      </c>
      <c r="C2193">
        <f t="shared" si="34"/>
        <v>1</v>
      </c>
    </row>
    <row r="2194" spans="1:3" x14ac:dyDescent="0.3">
      <c r="A2194">
        <v>2193</v>
      </c>
      <c r="B2194" s="7">
        <v>0</v>
      </c>
      <c r="C2194">
        <f t="shared" si="34"/>
        <v>0</v>
      </c>
    </row>
    <row r="2195" spans="1:3" x14ac:dyDescent="0.3">
      <c r="A2195">
        <v>2194</v>
      </c>
      <c r="B2195" s="7">
        <v>0</v>
      </c>
      <c r="C2195">
        <f t="shared" si="34"/>
        <v>0</v>
      </c>
    </row>
    <row r="2196" spans="1:3" x14ac:dyDescent="0.3">
      <c r="A2196">
        <v>2195</v>
      </c>
      <c r="B2196" s="7">
        <v>9027768.7334322296</v>
      </c>
      <c r="C2196">
        <f t="shared" si="34"/>
        <v>1</v>
      </c>
    </row>
    <row r="2197" spans="1:3" x14ac:dyDescent="0.3">
      <c r="A2197">
        <v>2196</v>
      </c>
      <c r="B2197" s="7">
        <v>4431668.5381846549</v>
      </c>
      <c r="C2197">
        <f t="shared" si="34"/>
        <v>1</v>
      </c>
    </row>
    <row r="2198" spans="1:3" x14ac:dyDescent="0.3">
      <c r="A2198">
        <v>2197</v>
      </c>
      <c r="B2198" s="7">
        <v>7640356.2081297375</v>
      </c>
      <c r="C2198">
        <f t="shared" si="34"/>
        <v>1</v>
      </c>
    </row>
    <row r="2199" spans="1:3" x14ac:dyDescent="0.3">
      <c r="A2199">
        <v>2198</v>
      </c>
      <c r="B2199" s="7">
        <v>9065256.5597849842</v>
      </c>
      <c r="C2199">
        <f t="shared" si="34"/>
        <v>1</v>
      </c>
    </row>
    <row r="2200" spans="1:3" x14ac:dyDescent="0.3">
      <c r="A2200">
        <v>2199</v>
      </c>
      <c r="B2200" s="7">
        <v>2732193.1116108722</v>
      </c>
      <c r="C2200">
        <f t="shared" si="34"/>
        <v>1</v>
      </c>
    </row>
    <row r="2201" spans="1:3" x14ac:dyDescent="0.3">
      <c r="A2201">
        <v>2200</v>
      </c>
      <c r="B2201" s="7">
        <v>4483070.6557930643</v>
      </c>
      <c r="C2201">
        <f t="shared" si="34"/>
        <v>1</v>
      </c>
    </row>
    <row r="2202" spans="1:3" x14ac:dyDescent="0.3">
      <c r="A2202">
        <v>2201</v>
      </c>
      <c r="B2202" s="7">
        <v>9947577.317807205</v>
      </c>
      <c r="C2202">
        <f t="shared" si="34"/>
        <v>1</v>
      </c>
    </row>
    <row r="2203" spans="1:3" x14ac:dyDescent="0.3">
      <c r="A2203">
        <v>2202</v>
      </c>
      <c r="B2203" s="7">
        <v>0</v>
      </c>
      <c r="C2203">
        <f t="shared" si="34"/>
        <v>0</v>
      </c>
    </row>
    <row r="2204" spans="1:3" x14ac:dyDescent="0.3">
      <c r="A2204">
        <v>2203</v>
      </c>
      <c r="B2204" s="7">
        <v>9485379.7932350114</v>
      </c>
      <c r="C2204">
        <f t="shared" si="34"/>
        <v>1</v>
      </c>
    </row>
    <row r="2205" spans="1:3" x14ac:dyDescent="0.3">
      <c r="A2205">
        <v>2204</v>
      </c>
      <c r="B2205" s="7">
        <v>3223019.1600983129</v>
      </c>
      <c r="C2205">
        <f t="shared" si="34"/>
        <v>1</v>
      </c>
    </row>
    <row r="2206" spans="1:3" x14ac:dyDescent="0.3">
      <c r="A2206">
        <v>2205</v>
      </c>
      <c r="B2206" s="7">
        <v>3090558.5127722109</v>
      </c>
      <c r="C2206">
        <f t="shared" si="34"/>
        <v>1</v>
      </c>
    </row>
    <row r="2207" spans="1:3" x14ac:dyDescent="0.3">
      <c r="A2207">
        <v>2206</v>
      </c>
      <c r="B2207" s="7">
        <v>10738491.41627126</v>
      </c>
      <c r="C2207">
        <f t="shared" si="34"/>
        <v>1</v>
      </c>
    </row>
    <row r="2208" spans="1:3" x14ac:dyDescent="0.3">
      <c r="A2208">
        <v>2207</v>
      </c>
      <c r="B2208" s="7">
        <v>5736476.7419375489</v>
      </c>
      <c r="C2208">
        <f t="shared" si="34"/>
        <v>1</v>
      </c>
    </row>
    <row r="2209" spans="1:3" x14ac:dyDescent="0.3">
      <c r="A2209">
        <v>2208</v>
      </c>
      <c r="B2209" s="7">
        <v>11123315.919487376</v>
      </c>
      <c r="C2209">
        <f t="shared" si="34"/>
        <v>1</v>
      </c>
    </row>
    <row r="2210" spans="1:3" x14ac:dyDescent="0.3">
      <c r="A2210">
        <v>2209</v>
      </c>
      <c r="B2210" s="7">
        <v>1293499.6943109166</v>
      </c>
      <c r="C2210">
        <f t="shared" si="34"/>
        <v>1</v>
      </c>
    </row>
    <row r="2211" spans="1:3" x14ac:dyDescent="0.3">
      <c r="A2211">
        <v>2210</v>
      </c>
      <c r="B2211" s="7">
        <v>6050869.8458319623</v>
      </c>
      <c r="C2211">
        <f t="shared" si="34"/>
        <v>1</v>
      </c>
    </row>
    <row r="2212" spans="1:3" x14ac:dyDescent="0.3">
      <c r="A2212">
        <v>2211</v>
      </c>
      <c r="B2212" s="7">
        <v>1788296.0722242985</v>
      </c>
      <c r="C2212">
        <f t="shared" si="34"/>
        <v>1</v>
      </c>
    </row>
    <row r="2213" spans="1:3" x14ac:dyDescent="0.3">
      <c r="A2213">
        <v>2212</v>
      </c>
      <c r="B2213" s="7">
        <v>574543.19483395317</v>
      </c>
      <c r="C2213">
        <f t="shared" si="34"/>
        <v>1</v>
      </c>
    </row>
    <row r="2214" spans="1:3" x14ac:dyDescent="0.3">
      <c r="A2214">
        <v>2213</v>
      </c>
      <c r="B2214" s="7">
        <v>4414729.7935399627</v>
      </c>
      <c r="C2214">
        <f t="shared" si="34"/>
        <v>1</v>
      </c>
    </row>
    <row r="2215" spans="1:3" x14ac:dyDescent="0.3">
      <c r="A2215">
        <v>2214</v>
      </c>
      <c r="B2215" s="7">
        <v>3510618.9398825835</v>
      </c>
      <c r="C2215">
        <f t="shared" si="34"/>
        <v>1</v>
      </c>
    </row>
    <row r="2216" spans="1:3" x14ac:dyDescent="0.3">
      <c r="A2216">
        <v>2215</v>
      </c>
      <c r="B2216" s="7">
        <v>7381292.5122234579</v>
      </c>
      <c r="C2216">
        <f t="shared" si="34"/>
        <v>1</v>
      </c>
    </row>
    <row r="2217" spans="1:3" x14ac:dyDescent="0.3">
      <c r="A2217">
        <v>2216</v>
      </c>
      <c r="B2217" s="7">
        <v>0</v>
      </c>
      <c r="C2217">
        <f t="shared" si="34"/>
        <v>0</v>
      </c>
    </row>
    <row r="2218" spans="1:3" x14ac:dyDescent="0.3">
      <c r="A2218">
        <v>2217</v>
      </c>
      <c r="B2218" s="7">
        <v>7663000.3392972406</v>
      </c>
      <c r="C2218">
        <f t="shared" si="34"/>
        <v>1</v>
      </c>
    </row>
    <row r="2219" spans="1:3" x14ac:dyDescent="0.3">
      <c r="A2219">
        <v>2218</v>
      </c>
      <c r="B2219" s="7">
        <v>2083673.6941831815</v>
      </c>
      <c r="C2219">
        <f t="shared" si="34"/>
        <v>1</v>
      </c>
    </row>
    <row r="2220" spans="1:3" x14ac:dyDescent="0.3">
      <c r="A2220">
        <v>2219</v>
      </c>
      <c r="B2220" s="7">
        <v>1421008.4745674897</v>
      </c>
      <c r="C2220">
        <f t="shared" si="34"/>
        <v>1</v>
      </c>
    </row>
    <row r="2221" spans="1:3" x14ac:dyDescent="0.3">
      <c r="A2221">
        <v>2220</v>
      </c>
      <c r="B2221" s="7">
        <v>13030574.98895004</v>
      </c>
      <c r="C2221">
        <f t="shared" si="34"/>
        <v>1</v>
      </c>
    </row>
    <row r="2222" spans="1:3" x14ac:dyDescent="0.3">
      <c r="A2222">
        <v>2221</v>
      </c>
      <c r="B2222" s="7">
        <v>2572112.0484955711</v>
      </c>
      <c r="C2222">
        <f t="shared" si="34"/>
        <v>1</v>
      </c>
    </row>
    <row r="2223" spans="1:3" x14ac:dyDescent="0.3">
      <c r="A2223">
        <v>2222</v>
      </c>
      <c r="B2223" s="7">
        <v>4154657.4435045449</v>
      </c>
      <c r="C2223">
        <f t="shared" si="34"/>
        <v>1</v>
      </c>
    </row>
    <row r="2224" spans="1:3" x14ac:dyDescent="0.3">
      <c r="A2224">
        <v>2223</v>
      </c>
      <c r="B2224" s="7">
        <v>4452651.0938848527</v>
      </c>
      <c r="C2224">
        <f t="shared" si="34"/>
        <v>1</v>
      </c>
    </row>
    <row r="2225" spans="1:3" x14ac:dyDescent="0.3">
      <c r="A2225">
        <v>2224</v>
      </c>
      <c r="B2225" s="7">
        <v>9695563.6442770381</v>
      </c>
      <c r="C2225">
        <f t="shared" si="34"/>
        <v>1</v>
      </c>
    </row>
    <row r="2226" spans="1:3" x14ac:dyDescent="0.3">
      <c r="A2226">
        <v>2225</v>
      </c>
      <c r="B2226" s="7">
        <v>10824819.584210044</v>
      </c>
      <c r="C2226">
        <f t="shared" si="34"/>
        <v>1</v>
      </c>
    </row>
    <row r="2227" spans="1:3" x14ac:dyDescent="0.3">
      <c r="A2227">
        <v>2226</v>
      </c>
      <c r="B2227" s="7">
        <v>14998633.230278732</v>
      </c>
      <c r="C2227">
        <f t="shared" si="34"/>
        <v>1</v>
      </c>
    </row>
    <row r="2228" spans="1:3" x14ac:dyDescent="0.3">
      <c r="A2228">
        <v>2227</v>
      </c>
      <c r="B2228" s="7">
        <v>15477707.346783323</v>
      </c>
      <c r="C2228">
        <f t="shared" si="34"/>
        <v>1</v>
      </c>
    </row>
    <row r="2229" spans="1:3" x14ac:dyDescent="0.3">
      <c r="A2229">
        <v>2228</v>
      </c>
      <c r="B2229" s="7">
        <v>6463463.5570997521</v>
      </c>
      <c r="C2229">
        <f t="shared" si="34"/>
        <v>1</v>
      </c>
    </row>
    <row r="2230" spans="1:3" x14ac:dyDescent="0.3">
      <c r="A2230">
        <v>2229</v>
      </c>
      <c r="B2230" s="7">
        <v>23410408.991277758</v>
      </c>
      <c r="C2230">
        <f t="shared" si="34"/>
        <v>1</v>
      </c>
    </row>
    <row r="2231" spans="1:3" x14ac:dyDescent="0.3">
      <c r="A2231">
        <v>2230</v>
      </c>
      <c r="B2231" s="7">
        <v>3293652.1070710383</v>
      </c>
      <c r="C2231">
        <f t="shared" si="34"/>
        <v>1</v>
      </c>
    </row>
    <row r="2232" spans="1:3" x14ac:dyDescent="0.3">
      <c r="A2232">
        <v>2231</v>
      </c>
      <c r="B2232" s="7">
        <v>6302990.7897662539</v>
      </c>
      <c r="C2232">
        <f t="shared" si="34"/>
        <v>1</v>
      </c>
    </row>
    <row r="2233" spans="1:3" x14ac:dyDescent="0.3">
      <c r="A2233">
        <v>2232</v>
      </c>
      <c r="B2233" s="7">
        <v>7743209.9670308959</v>
      </c>
      <c r="C2233">
        <f t="shared" si="34"/>
        <v>1</v>
      </c>
    </row>
    <row r="2234" spans="1:3" x14ac:dyDescent="0.3">
      <c r="A2234">
        <v>2233</v>
      </c>
      <c r="B2234" s="7">
        <v>6695009.7070338894</v>
      </c>
      <c r="C2234">
        <f t="shared" si="34"/>
        <v>1</v>
      </c>
    </row>
    <row r="2235" spans="1:3" x14ac:dyDescent="0.3">
      <c r="A2235">
        <v>2234</v>
      </c>
      <c r="B2235" s="7">
        <v>11919726.321645884</v>
      </c>
      <c r="C2235">
        <f t="shared" si="34"/>
        <v>1</v>
      </c>
    </row>
    <row r="2236" spans="1:3" x14ac:dyDescent="0.3">
      <c r="A2236">
        <v>2235</v>
      </c>
      <c r="B2236" s="7">
        <v>7838702.1806850256</v>
      </c>
      <c r="C2236">
        <f t="shared" si="34"/>
        <v>1</v>
      </c>
    </row>
    <row r="2237" spans="1:3" x14ac:dyDescent="0.3">
      <c r="A2237">
        <v>2236</v>
      </c>
      <c r="B2237" s="7">
        <v>0</v>
      </c>
      <c r="C2237">
        <f t="shared" si="34"/>
        <v>0</v>
      </c>
    </row>
    <row r="2238" spans="1:3" x14ac:dyDescent="0.3">
      <c r="A2238">
        <v>2237</v>
      </c>
      <c r="B2238" s="7">
        <v>4500239.3334381357</v>
      </c>
      <c r="C2238">
        <f t="shared" si="34"/>
        <v>1</v>
      </c>
    </row>
    <row r="2239" spans="1:3" x14ac:dyDescent="0.3">
      <c r="A2239">
        <v>2238</v>
      </c>
      <c r="B2239" s="7">
        <v>14001680.378357923</v>
      </c>
      <c r="C2239">
        <f t="shared" si="34"/>
        <v>1</v>
      </c>
    </row>
    <row r="2240" spans="1:3" x14ac:dyDescent="0.3">
      <c r="A2240">
        <v>2239</v>
      </c>
      <c r="B2240" s="7">
        <v>2191897.7033693632</v>
      </c>
      <c r="C2240">
        <f t="shared" si="34"/>
        <v>1</v>
      </c>
    </row>
    <row r="2241" spans="1:3" x14ac:dyDescent="0.3">
      <c r="A2241">
        <v>2240</v>
      </c>
      <c r="B2241" s="7">
        <v>4203063.5047694054</v>
      </c>
      <c r="C2241">
        <f t="shared" si="34"/>
        <v>1</v>
      </c>
    </row>
    <row r="2242" spans="1:3" x14ac:dyDescent="0.3">
      <c r="A2242">
        <v>2241</v>
      </c>
      <c r="B2242" s="7">
        <v>7184146.748563556</v>
      </c>
      <c r="C2242">
        <f t="shared" si="34"/>
        <v>1</v>
      </c>
    </row>
    <row r="2243" spans="1:3" x14ac:dyDescent="0.3">
      <c r="A2243">
        <v>2242</v>
      </c>
      <c r="B2243" s="7">
        <v>1817869.2301088644</v>
      </c>
      <c r="C2243">
        <f t="shared" ref="C2243:C2306" si="35">IF(B2243=0,0,1)</f>
        <v>1</v>
      </c>
    </row>
    <row r="2244" spans="1:3" x14ac:dyDescent="0.3">
      <c r="A2244">
        <v>2243</v>
      </c>
      <c r="B2244" s="7">
        <v>9724668.3736854158</v>
      </c>
      <c r="C2244">
        <f t="shared" si="35"/>
        <v>1</v>
      </c>
    </row>
    <row r="2245" spans="1:3" x14ac:dyDescent="0.3">
      <c r="A2245">
        <v>2244</v>
      </c>
      <c r="B2245" s="7">
        <v>1282399.025761381</v>
      </c>
      <c r="C2245">
        <f t="shared" si="35"/>
        <v>1</v>
      </c>
    </row>
    <row r="2246" spans="1:3" x14ac:dyDescent="0.3">
      <c r="A2246">
        <v>2245</v>
      </c>
      <c r="B2246" s="7">
        <v>14160340.342041379</v>
      </c>
      <c r="C2246">
        <f t="shared" si="35"/>
        <v>1</v>
      </c>
    </row>
    <row r="2247" spans="1:3" x14ac:dyDescent="0.3">
      <c r="A2247">
        <v>2246</v>
      </c>
      <c r="B2247" s="7">
        <v>17188175.39241261</v>
      </c>
      <c r="C2247">
        <f t="shared" si="35"/>
        <v>1</v>
      </c>
    </row>
    <row r="2248" spans="1:3" x14ac:dyDescent="0.3">
      <c r="A2248">
        <v>2247</v>
      </c>
      <c r="B2248" s="7">
        <v>10216911.147246109</v>
      </c>
      <c r="C2248">
        <f t="shared" si="35"/>
        <v>1</v>
      </c>
    </row>
    <row r="2249" spans="1:3" x14ac:dyDescent="0.3">
      <c r="A2249">
        <v>2248</v>
      </c>
      <c r="B2249" s="7">
        <v>8180504.0845588343</v>
      </c>
      <c r="C2249">
        <f t="shared" si="35"/>
        <v>1</v>
      </c>
    </row>
    <row r="2250" spans="1:3" x14ac:dyDescent="0.3">
      <c r="A2250">
        <v>2249</v>
      </c>
      <c r="B2250" s="7">
        <v>5501116.4639144298</v>
      </c>
      <c r="C2250">
        <f t="shared" si="35"/>
        <v>1</v>
      </c>
    </row>
    <row r="2251" spans="1:3" x14ac:dyDescent="0.3">
      <c r="A2251">
        <v>2250</v>
      </c>
      <c r="B2251" s="7">
        <v>5183923.3910508724</v>
      </c>
      <c r="C2251">
        <f t="shared" si="35"/>
        <v>1</v>
      </c>
    </row>
    <row r="2252" spans="1:3" x14ac:dyDescent="0.3">
      <c r="A2252">
        <v>2251</v>
      </c>
      <c r="B2252" s="7">
        <v>13158743.557114199</v>
      </c>
      <c r="C2252">
        <f t="shared" si="35"/>
        <v>1</v>
      </c>
    </row>
    <row r="2253" spans="1:3" x14ac:dyDescent="0.3">
      <c r="A2253">
        <v>2252</v>
      </c>
      <c r="B2253" s="7">
        <v>5055683.1029023649</v>
      </c>
      <c r="C2253">
        <f t="shared" si="35"/>
        <v>1</v>
      </c>
    </row>
    <row r="2254" spans="1:3" x14ac:dyDescent="0.3">
      <c r="A2254">
        <v>2253</v>
      </c>
      <c r="B2254" s="7">
        <v>12376508.531370779</v>
      </c>
      <c r="C2254">
        <f t="shared" si="35"/>
        <v>1</v>
      </c>
    </row>
    <row r="2255" spans="1:3" x14ac:dyDescent="0.3">
      <c r="A2255">
        <v>2254</v>
      </c>
      <c r="B2255" s="7">
        <v>3692922.3501095199</v>
      </c>
      <c r="C2255">
        <f t="shared" si="35"/>
        <v>1</v>
      </c>
    </row>
    <row r="2256" spans="1:3" x14ac:dyDescent="0.3">
      <c r="A2256">
        <v>2255</v>
      </c>
      <c r="B2256" s="7">
        <v>2150221.0730082486</v>
      </c>
      <c r="C2256">
        <f t="shared" si="35"/>
        <v>1</v>
      </c>
    </row>
    <row r="2257" spans="1:3" x14ac:dyDescent="0.3">
      <c r="A2257">
        <v>2256</v>
      </c>
      <c r="B2257" s="7">
        <v>12903398.239256434</v>
      </c>
      <c r="C2257">
        <f t="shared" si="35"/>
        <v>1</v>
      </c>
    </row>
    <row r="2258" spans="1:3" x14ac:dyDescent="0.3">
      <c r="A2258">
        <v>2257</v>
      </c>
      <c r="B2258" s="7">
        <v>10529742.334397208</v>
      </c>
      <c r="C2258">
        <f t="shared" si="35"/>
        <v>1</v>
      </c>
    </row>
    <row r="2259" spans="1:3" x14ac:dyDescent="0.3">
      <c r="A2259">
        <v>2258</v>
      </c>
      <c r="B2259" s="7">
        <v>5355141.7708784668</v>
      </c>
      <c r="C2259">
        <f t="shared" si="35"/>
        <v>1</v>
      </c>
    </row>
    <row r="2260" spans="1:3" x14ac:dyDescent="0.3">
      <c r="A2260">
        <v>2259</v>
      </c>
      <c r="B2260" s="7">
        <v>14535663.233327931</v>
      </c>
      <c r="C2260">
        <f t="shared" si="35"/>
        <v>1</v>
      </c>
    </row>
    <row r="2261" spans="1:3" x14ac:dyDescent="0.3">
      <c r="A2261">
        <v>2260</v>
      </c>
      <c r="B2261" s="7">
        <v>1209844.8490904244</v>
      </c>
      <c r="C2261">
        <f t="shared" si="35"/>
        <v>1</v>
      </c>
    </row>
    <row r="2262" spans="1:3" x14ac:dyDescent="0.3">
      <c r="A2262">
        <v>2261</v>
      </c>
      <c r="B2262" s="7">
        <v>917737.0146127491</v>
      </c>
      <c r="C2262">
        <f t="shared" si="35"/>
        <v>1</v>
      </c>
    </row>
    <row r="2263" spans="1:3" x14ac:dyDescent="0.3">
      <c r="A2263">
        <v>2262</v>
      </c>
      <c r="B2263" s="7">
        <v>1197472.3316204182</v>
      </c>
      <c r="C2263">
        <f t="shared" si="35"/>
        <v>1</v>
      </c>
    </row>
    <row r="2264" spans="1:3" x14ac:dyDescent="0.3">
      <c r="A2264">
        <v>2263</v>
      </c>
      <c r="B2264" s="7">
        <v>4783283.7557051321</v>
      </c>
      <c r="C2264">
        <f t="shared" si="35"/>
        <v>1</v>
      </c>
    </row>
    <row r="2265" spans="1:3" x14ac:dyDescent="0.3">
      <c r="A2265">
        <v>2264</v>
      </c>
      <c r="B2265" s="7">
        <v>7192111.5677095177</v>
      </c>
      <c r="C2265">
        <f t="shared" si="35"/>
        <v>1</v>
      </c>
    </row>
    <row r="2266" spans="1:3" x14ac:dyDescent="0.3">
      <c r="A2266">
        <v>2265</v>
      </c>
      <c r="B2266" s="7">
        <v>3684988.7050568964</v>
      </c>
      <c r="C2266">
        <f t="shared" si="35"/>
        <v>1</v>
      </c>
    </row>
    <row r="2267" spans="1:3" x14ac:dyDescent="0.3">
      <c r="A2267">
        <v>2266</v>
      </c>
      <c r="B2267" s="7">
        <v>4965557.8352978053</v>
      </c>
      <c r="C2267">
        <f t="shared" si="35"/>
        <v>1</v>
      </c>
    </row>
    <row r="2268" spans="1:3" x14ac:dyDescent="0.3">
      <c r="A2268">
        <v>2267</v>
      </c>
      <c r="B2268" s="7">
        <v>7624301.2444400713</v>
      </c>
      <c r="C2268">
        <f t="shared" si="35"/>
        <v>1</v>
      </c>
    </row>
    <row r="2269" spans="1:3" x14ac:dyDescent="0.3">
      <c r="A2269">
        <v>2268</v>
      </c>
      <c r="B2269" s="7">
        <v>4935936.0739337038</v>
      </c>
      <c r="C2269">
        <f t="shared" si="35"/>
        <v>1</v>
      </c>
    </row>
    <row r="2270" spans="1:3" x14ac:dyDescent="0.3">
      <c r="A2270">
        <v>2269</v>
      </c>
      <c r="B2270" s="7">
        <v>7391245.4665710563</v>
      </c>
      <c r="C2270">
        <f t="shared" si="35"/>
        <v>1</v>
      </c>
    </row>
    <row r="2271" spans="1:3" x14ac:dyDescent="0.3">
      <c r="A2271">
        <v>2270</v>
      </c>
      <c r="B2271" s="7">
        <v>9624568.8638479169</v>
      </c>
      <c r="C2271">
        <f t="shared" si="35"/>
        <v>1</v>
      </c>
    </row>
    <row r="2272" spans="1:3" x14ac:dyDescent="0.3">
      <c r="A2272">
        <v>2271</v>
      </c>
      <c r="B2272" s="7">
        <v>3025141.3794963858</v>
      </c>
      <c r="C2272">
        <f t="shared" si="35"/>
        <v>1</v>
      </c>
    </row>
    <row r="2273" spans="1:3" x14ac:dyDescent="0.3">
      <c r="A2273">
        <v>2272</v>
      </c>
      <c r="B2273" s="7">
        <v>2853293.4743743241</v>
      </c>
      <c r="C2273">
        <f t="shared" si="35"/>
        <v>1</v>
      </c>
    </row>
    <row r="2274" spans="1:3" x14ac:dyDescent="0.3">
      <c r="A2274">
        <v>2273</v>
      </c>
      <c r="B2274" s="7">
        <v>8612378.08300611</v>
      </c>
      <c r="C2274">
        <f t="shared" si="35"/>
        <v>1</v>
      </c>
    </row>
    <row r="2275" spans="1:3" x14ac:dyDescent="0.3">
      <c r="A2275">
        <v>2274</v>
      </c>
      <c r="B2275" s="7">
        <v>2646882.919879097</v>
      </c>
      <c r="C2275">
        <f t="shared" si="35"/>
        <v>1</v>
      </c>
    </row>
    <row r="2276" spans="1:3" x14ac:dyDescent="0.3">
      <c r="A2276">
        <v>2275</v>
      </c>
      <c r="B2276" s="7">
        <v>3899002.6136617758</v>
      </c>
      <c r="C2276">
        <f t="shared" si="35"/>
        <v>1</v>
      </c>
    </row>
    <row r="2277" spans="1:3" x14ac:dyDescent="0.3">
      <c r="A2277">
        <v>2276</v>
      </c>
      <c r="B2277" s="7">
        <v>6262444.8810526952</v>
      </c>
      <c r="C2277">
        <f t="shared" si="35"/>
        <v>1</v>
      </c>
    </row>
    <row r="2278" spans="1:3" x14ac:dyDescent="0.3">
      <c r="A2278">
        <v>2277</v>
      </c>
      <c r="B2278" s="7">
        <v>0</v>
      </c>
      <c r="C2278">
        <f t="shared" si="35"/>
        <v>0</v>
      </c>
    </row>
    <row r="2279" spans="1:3" x14ac:dyDescent="0.3">
      <c r="A2279">
        <v>2278</v>
      </c>
      <c r="B2279" s="7">
        <v>5422676.5780120408</v>
      </c>
      <c r="C2279">
        <f t="shared" si="35"/>
        <v>1</v>
      </c>
    </row>
    <row r="2280" spans="1:3" x14ac:dyDescent="0.3">
      <c r="A2280">
        <v>2279</v>
      </c>
      <c r="B2280" s="7">
        <v>22334981.281310026</v>
      </c>
      <c r="C2280">
        <f t="shared" si="35"/>
        <v>1</v>
      </c>
    </row>
    <row r="2281" spans="1:3" x14ac:dyDescent="0.3">
      <c r="A2281">
        <v>2280</v>
      </c>
      <c r="B2281" s="7">
        <v>6322731.6422372535</v>
      </c>
      <c r="C2281">
        <f t="shared" si="35"/>
        <v>1</v>
      </c>
    </row>
    <row r="2282" spans="1:3" x14ac:dyDescent="0.3">
      <c r="A2282">
        <v>2281</v>
      </c>
      <c r="B2282" s="7">
        <v>3518064.749965122</v>
      </c>
      <c r="C2282">
        <f t="shared" si="35"/>
        <v>1</v>
      </c>
    </row>
    <row r="2283" spans="1:3" x14ac:dyDescent="0.3">
      <c r="A2283">
        <v>2282</v>
      </c>
      <c r="B2283" s="7">
        <v>4244385.4064883897</v>
      </c>
      <c r="C2283">
        <f t="shared" si="35"/>
        <v>1</v>
      </c>
    </row>
    <row r="2284" spans="1:3" x14ac:dyDescent="0.3">
      <c r="A2284">
        <v>2283</v>
      </c>
      <c r="B2284" s="7">
        <v>2061143.7136322614</v>
      </c>
      <c r="C2284">
        <f t="shared" si="35"/>
        <v>1</v>
      </c>
    </row>
    <row r="2285" spans="1:3" x14ac:dyDescent="0.3">
      <c r="A2285">
        <v>2284</v>
      </c>
      <c r="B2285" s="7">
        <v>22875419.457229327</v>
      </c>
      <c r="C2285">
        <f t="shared" si="35"/>
        <v>1</v>
      </c>
    </row>
    <row r="2286" spans="1:3" x14ac:dyDescent="0.3">
      <c r="A2286">
        <v>2285</v>
      </c>
      <c r="B2286" s="7">
        <v>1912155.7363470353</v>
      </c>
      <c r="C2286">
        <f t="shared" si="35"/>
        <v>1</v>
      </c>
    </row>
    <row r="2287" spans="1:3" x14ac:dyDescent="0.3">
      <c r="A2287">
        <v>2286</v>
      </c>
      <c r="B2287" s="7">
        <v>2126973.3463796386</v>
      </c>
      <c r="C2287">
        <f t="shared" si="35"/>
        <v>1</v>
      </c>
    </row>
    <row r="2288" spans="1:3" x14ac:dyDescent="0.3">
      <c r="A2288">
        <v>2287</v>
      </c>
      <c r="B2288" s="7">
        <v>2140430.0097101065</v>
      </c>
      <c r="C2288">
        <f t="shared" si="35"/>
        <v>1</v>
      </c>
    </row>
    <row r="2289" spans="1:3" x14ac:dyDescent="0.3">
      <c r="A2289">
        <v>2288</v>
      </c>
      <c r="B2289" s="7">
        <v>11733551.649343647</v>
      </c>
      <c r="C2289">
        <f t="shared" si="35"/>
        <v>1</v>
      </c>
    </row>
    <row r="2290" spans="1:3" x14ac:dyDescent="0.3">
      <c r="A2290">
        <v>2289</v>
      </c>
      <c r="B2290" s="7">
        <v>4844593.9363159174</v>
      </c>
      <c r="C2290">
        <f t="shared" si="35"/>
        <v>1</v>
      </c>
    </row>
    <row r="2291" spans="1:3" x14ac:dyDescent="0.3">
      <c r="A2291">
        <v>2290</v>
      </c>
      <c r="B2291" s="7">
        <v>4074976.2316096048</v>
      </c>
      <c r="C2291">
        <f t="shared" si="35"/>
        <v>1</v>
      </c>
    </row>
    <row r="2292" spans="1:3" x14ac:dyDescent="0.3">
      <c r="A2292">
        <v>2291</v>
      </c>
      <c r="B2292" s="7">
        <v>4198123.916657988</v>
      </c>
      <c r="C2292">
        <f t="shared" si="35"/>
        <v>1</v>
      </c>
    </row>
    <row r="2293" spans="1:3" x14ac:dyDescent="0.3">
      <c r="A2293">
        <v>2292</v>
      </c>
      <c r="B2293" s="7">
        <v>4372567.9041677546</v>
      </c>
      <c r="C2293">
        <f t="shared" si="35"/>
        <v>1</v>
      </c>
    </row>
    <row r="2294" spans="1:3" x14ac:dyDescent="0.3">
      <c r="A2294">
        <v>2293</v>
      </c>
      <c r="B2294" s="7">
        <v>12569739.547500061</v>
      </c>
      <c r="C2294">
        <f t="shared" si="35"/>
        <v>1</v>
      </c>
    </row>
    <row r="2295" spans="1:3" x14ac:dyDescent="0.3">
      <c r="A2295">
        <v>2294</v>
      </c>
      <c r="B2295" s="7">
        <v>10452162.216073776</v>
      </c>
      <c r="C2295">
        <f t="shared" si="35"/>
        <v>1</v>
      </c>
    </row>
    <row r="2296" spans="1:3" x14ac:dyDescent="0.3">
      <c r="A2296">
        <v>2295</v>
      </c>
      <c r="B2296" s="7">
        <v>477423.11541924567</v>
      </c>
      <c r="C2296">
        <f t="shared" si="35"/>
        <v>1</v>
      </c>
    </row>
    <row r="2297" spans="1:3" x14ac:dyDescent="0.3">
      <c r="A2297">
        <v>2296</v>
      </c>
      <c r="B2297" s="7">
        <v>38471937.784994379</v>
      </c>
      <c r="C2297">
        <f t="shared" si="35"/>
        <v>1</v>
      </c>
    </row>
    <row r="2298" spans="1:3" x14ac:dyDescent="0.3">
      <c r="A2298">
        <v>2297</v>
      </c>
      <c r="B2298" s="7">
        <v>16477480.478796165</v>
      </c>
      <c r="C2298">
        <f t="shared" si="35"/>
        <v>1</v>
      </c>
    </row>
    <row r="2299" spans="1:3" x14ac:dyDescent="0.3">
      <c r="A2299">
        <v>2298</v>
      </c>
      <c r="B2299" s="7">
        <v>3884220.8979181275</v>
      </c>
      <c r="C2299">
        <f t="shared" si="35"/>
        <v>1</v>
      </c>
    </row>
    <row r="2300" spans="1:3" x14ac:dyDescent="0.3">
      <c r="A2300">
        <v>2299</v>
      </c>
      <c r="B2300" s="7">
        <v>8162717.8528903341</v>
      </c>
      <c r="C2300">
        <f t="shared" si="35"/>
        <v>1</v>
      </c>
    </row>
    <row r="2301" spans="1:3" x14ac:dyDescent="0.3">
      <c r="A2301">
        <v>2300</v>
      </c>
      <c r="B2301" s="7">
        <v>16362102.972905731</v>
      </c>
      <c r="C2301">
        <f t="shared" si="35"/>
        <v>1</v>
      </c>
    </row>
    <row r="2302" spans="1:3" x14ac:dyDescent="0.3">
      <c r="A2302">
        <v>2301</v>
      </c>
      <c r="B2302" s="7">
        <v>2942527.3919148254</v>
      </c>
      <c r="C2302">
        <f t="shared" si="35"/>
        <v>1</v>
      </c>
    </row>
    <row r="2303" spans="1:3" x14ac:dyDescent="0.3">
      <c r="A2303">
        <v>2302</v>
      </c>
      <c r="B2303" s="7">
        <v>4684992.9172624806</v>
      </c>
      <c r="C2303">
        <f t="shared" si="35"/>
        <v>1</v>
      </c>
    </row>
    <row r="2304" spans="1:3" x14ac:dyDescent="0.3">
      <c r="A2304">
        <v>2303</v>
      </c>
      <c r="B2304" s="7">
        <v>1481854.3667789719</v>
      </c>
      <c r="C2304">
        <f t="shared" si="35"/>
        <v>1</v>
      </c>
    </row>
    <row r="2305" spans="1:3" x14ac:dyDescent="0.3">
      <c r="A2305">
        <v>2304</v>
      </c>
      <c r="B2305" s="7">
        <v>3331970.9094319129</v>
      </c>
      <c r="C2305">
        <f t="shared" si="35"/>
        <v>1</v>
      </c>
    </row>
    <row r="2306" spans="1:3" x14ac:dyDescent="0.3">
      <c r="A2306">
        <v>2305</v>
      </c>
      <c r="B2306" s="7">
        <v>1504507.7227966881</v>
      </c>
      <c r="C2306">
        <f t="shared" si="35"/>
        <v>1</v>
      </c>
    </row>
    <row r="2307" spans="1:3" x14ac:dyDescent="0.3">
      <c r="A2307">
        <v>2306</v>
      </c>
      <c r="B2307" s="7">
        <v>8289442.3039863165</v>
      </c>
      <c r="C2307">
        <f t="shared" ref="C2307:C2370" si="36">IF(B2307=0,0,1)</f>
        <v>1</v>
      </c>
    </row>
    <row r="2308" spans="1:3" x14ac:dyDescent="0.3">
      <c r="A2308">
        <v>2307</v>
      </c>
      <c r="B2308" s="7">
        <v>4792302.8090022514</v>
      </c>
      <c r="C2308">
        <f t="shared" si="36"/>
        <v>1</v>
      </c>
    </row>
    <row r="2309" spans="1:3" x14ac:dyDescent="0.3">
      <c r="A2309">
        <v>2308</v>
      </c>
      <c r="B2309" s="7">
        <v>7246187.8043994289</v>
      </c>
      <c r="C2309">
        <f t="shared" si="36"/>
        <v>1</v>
      </c>
    </row>
    <row r="2310" spans="1:3" x14ac:dyDescent="0.3">
      <c r="A2310">
        <v>2309</v>
      </c>
      <c r="B2310" s="7">
        <v>21363746.35954316</v>
      </c>
      <c r="C2310">
        <f t="shared" si="36"/>
        <v>1</v>
      </c>
    </row>
    <row r="2311" spans="1:3" x14ac:dyDescent="0.3">
      <c r="A2311">
        <v>2310</v>
      </c>
      <c r="B2311" s="7">
        <v>6197718.1172163347</v>
      </c>
      <c r="C2311">
        <f t="shared" si="36"/>
        <v>1</v>
      </c>
    </row>
    <row r="2312" spans="1:3" x14ac:dyDescent="0.3">
      <c r="A2312">
        <v>2311</v>
      </c>
      <c r="B2312" s="7">
        <v>420772.69469653646</v>
      </c>
      <c r="C2312">
        <f t="shared" si="36"/>
        <v>1</v>
      </c>
    </row>
    <row r="2313" spans="1:3" x14ac:dyDescent="0.3">
      <c r="A2313">
        <v>2312</v>
      </c>
      <c r="B2313" s="7">
        <v>14972826.038955092</v>
      </c>
      <c r="C2313">
        <f t="shared" si="36"/>
        <v>1</v>
      </c>
    </row>
    <row r="2314" spans="1:3" x14ac:dyDescent="0.3">
      <c r="A2314">
        <v>2313</v>
      </c>
      <c r="B2314" s="7">
        <v>4563409.4550146023</v>
      </c>
      <c r="C2314">
        <f t="shared" si="36"/>
        <v>1</v>
      </c>
    </row>
    <row r="2315" spans="1:3" x14ac:dyDescent="0.3">
      <c r="A2315">
        <v>2314</v>
      </c>
      <c r="B2315" s="7">
        <v>2663855.3778944882</v>
      </c>
      <c r="C2315">
        <f t="shared" si="36"/>
        <v>1</v>
      </c>
    </row>
    <row r="2316" spans="1:3" x14ac:dyDescent="0.3">
      <c r="A2316">
        <v>2315</v>
      </c>
      <c r="B2316" s="7">
        <v>1342102.1472232072</v>
      </c>
      <c r="C2316">
        <f t="shared" si="36"/>
        <v>1</v>
      </c>
    </row>
    <row r="2317" spans="1:3" x14ac:dyDescent="0.3">
      <c r="A2317">
        <v>2316</v>
      </c>
      <c r="B2317" s="7">
        <v>43164755.77662915</v>
      </c>
      <c r="C2317">
        <f t="shared" si="36"/>
        <v>1</v>
      </c>
    </row>
    <row r="2318" spans="1:3" x14ac:dyDescent="0.3">
      <c r="A2318">
        <v>2317</v>
      </c>
      <c r="B2318" s="7">
        <v>3316653.1366446223</v>
      </c>
      <c r="C2318">
        <f t="shared" si="36"/>
        <v>1</v>
      </c>
    </row>
    <row r="2319" spans="1:3" x14ac:dyDescent="0.3">
      <c r="A2319">
        <v>2318</v>
      </c>
      <c r="B2319" s="7">
        <v>3152535.2356740106</v>
      </c>
      <c r="C2319">
        <f t="shared" si="36"/>
        <v>1</v>
      </c>
    </row>
    <row r="2320" spans="1:3" x14ac:dyDescent="0.3">
      <c r="A2320">
        <v>2319</v>
      </c>
      <c r="B2320" s="7">
        <v>5471036.2489909558</v>
      </c>
      <c r="C2320">
        <f t="shared" si="36"/>
        <v>1</v>
      </c>
    </row>
    <row r="2321" spans="1:3" x14ac:dyDescent="0.3">
      <c r="A2321">
        <v>2320</v>
      </c>
      <c r="B2321" s="7">
        <v>1585804.3058964021</v>
      </c>
      <c r="C2321">
        <f t="shared" si="36"/>
        <v>1</v>
      </c>
    </row>
    <row r="2322" spans="1:3" x14ac:dyDescent="0.3">
      <c r="A2322">
        <v>2321</v>
      </c>
      <c r="B2322" s="7">
        <v>8836542.7706053276</v>
      </c>
      <c r="C2322">
        <f t="shared" si="36"/>
        <v>1</v>
      </c>
    </row>
    <row r="2323" spans="1:3" x14ac:dyDescent="0.3">
      <c r="A2323">
        <v>2322</v>
      </c>
      <c r="B2323" s="7">
        <v>6857221.9016180355</v>
      </c>
      <c r="C2323">
        <f t="shared" si="36"/>
        <v>1</v>
      </c>
    </row>
    <row r="2324" spans="1:3" x14ac:dyDescent="0.3">
      <c r="A2324">
        <v>2323</v>
      </c>
      <c r="B2324" s="7">
        <v>8472265.8725367188</v>
      </c>
      <c r="C2324">
        <f t="shared" si="36"/>
        <v>1</v>
      </c>
    </row>
    <row r="2325" spans="1:3" x14ac:dyDescent="0.3">
      <c r="A2325">
        <v>2324</v>
      </c>
      <c r="B2325" s="7">
        <v>1625939.5022307925</v>
      </c>
      <c r="C2325">
        <f t="shared" si="36"/>
        <v>1</v>
      </c>
    </row>
    <row r="2326" spans="1:3" x14ac:dyDescent="0.3">
      <c r="A2326">
        <v>2325</v>
      </c>
      <c r="B2326" s="7">
        <v>3627419.254015333</v>
      </c>
      <c r="C2326">
        <f t="shared" si="36"/>
        <v>1</v>
      </c>
    </row>
    <row r="2327" spans="1:3" x14ac:dyDescent="0.3">
      <c r="A2327">
        <v>2326</v>
      </c>
      <c r="B2327" s="7">
        <v>12259440.084364761</v>
      </c>
      <c r="C2327">
        <f t="shared" si="36"/>
        <v>1</v>
      </c>
    </row>
    <row r="2328" spans="1:3" x14ac:dyDescent="0.3">
      <c r="A2328">
        <v>2327</v>
      </c>
      <c r="B2328" s="7">
        <v>2763783.0614021011</v>
      </c>
      <c r="C2328">
        <f t="shared" si="36"/>
        <v>1</v>
      </c>
    </row>
    <row r="2329" spans="1:3" x14ac:dyDescent="0.3">
      <c r="A2329">
        <v>2328</v>
      </c>
      <c r="B2329" s="7">
        <v>1460828.7745729294</v>
      </c>
      <c r="C2329">
        <f t="shared" si="36"/>
        <v>1</v>
      </c>
    </row>
    <row r="2330" spans="1:3" x14ac:dyDescent="0.3">
      <c r="A2330">
        <v>2329</v>
      </c>
      <c r="B2330" s="7">
        <v>5556045.8947018832</v>
      </c>
      <c r="C2330">
        <f t="shared" si="36"/>
        <v>1</v>
      </c>
    </row>
    <row r="2331" spans="1:3" x14ac:dyDescent="0.3">
      <c r="A2331">
        <v>2330</v>
      </c>
      <c r="B2331" s="7">
        <v>5217816.7929223403</v>
      </c>
      <c r="C2331">
        <f t="shared" si="36"/>
        <v>1</v>
      </c>
    </row>
    <row r="2332" spans="1:3" x14ac:dyDescent="0.3">
      <c r="A2332">
        <v>2331</v>
      </c>
      <c r="B2332" s="7">
        <v>5720799.5343634654</v>
      </c>
      <c r="C2332">
        <f t="shared" si="36"/>
        <v>1</v>
      </c>
    </row>
    <row r="2333" spans="1:3" x14ac:dyDescent="0.3">
      <c r="A2333">
        <v>2332</v>
      </c>
      <c r="B2333" s="7">
        <v>5382858.3382324697</v>
      </c>
      <c r="C2333">
        <f t="shared" si="36"/>
        <v>1</v>
      </c>
    </row>
    <row r="2334" spans="1:3" x14ac:dyDescent="0.3">
      <c r="A2334">
        <v>2333</v>
      </c>
      <c r="B2334" s="7">
        <v>4001717.2177066612</v>
      </c>
      <c r="C2334">
        <f t="shared" si="36"/>
        <v>1</v>
      </c>
    </row>
    <row r="2335" spans="1:3" x14ac:dyDescent="0.3">
      <c r="A2335">
        <v>2334</v>
      </c>
      <c r="B2335" s="7">
        <v>3080590.4160422403</v>
      </c>
      <c r="C2335">
        <f t="shared" si="36"/>
        <v>1</v>
      </c>
    </row>
    <row r="2336" spans="1:3" x14ac:dyDescent="0.3">
      <c r="A2336">
        <v>2335</v>
      </c>
      <c r="B2336" s="7">
        <v>8812889.9240689781</v>
      </c>
      <c r="C2336">
        <f t="shared" si="36"/>
        <v>1</v>
      </c>
    </row>
    <row r="2337" spans="1:3" x14ac:dyDescent="0.3">
      <c r="A2337">
        <v>2336</v>
      </c>
      <c r="B2337" s="7">
        <v>1903278.9484951361</v>
      </c>
      <c r="C2337">
        <f t="shared" si="36"/>
        <v>1</v>
      </c>
    </row>
    <row r="2338" spans="1:3" x14ac:dyDescent="0.3">
      <c r="A2338">
        <v>2337</v>
      </c>
      <c r="B2338" s="7">
        <v>6711620.1872924827</v>
      </c>
      <c r="C2338">
        <f t="shared" si="36"/>
        <v>1</v>
      </c>
    </row>
    <row r="2339" spans="1:3" x14ac:dyDescent="0.3">
      <c r="A2339">
        <v>2338</v>
      </c>
      <c r="B2339" s="7">
        <v>1649926.1892177598</v>
      </c>
      <c r="C2339">
        <f t="shared" si="36"/>
        <v>1</v>
      </c>
    </row>
    <row r="2340" spans="1:3" x14ac:dyDescent="0.3">
      <c r="A2340">
        <v>2339</v>
      </c>
      <c r="B2340" s="7">
        <v>5032393.6654162686</v>
      </c>
      <c r="C2340">
        <f t="shared" si="36"/>
        <v>1</v>
      </c>
    </row>
    <row r="2341" spans="1:3" x14ac:dyDescent="0.3">
      <c r="A2341">
        <v>2340</v>
      </c>
      <c r="B2341" s="7">
        <v>1865688.0089262286</v>
      </c>
      <c r="C2341">
        <f t="shared" si="36"/>
        <v>1</v>
      </c>
    </row>
    <row r="2342" spans="1:3" x14ac:dyDescent="0.3">
      <c r="A2342">
        <v>2341</v>
      </c>
      <c r="B2342" s="7">
        <v>5520383.1457263967</v>
      </c>
      <c r="C2342">
        <f t="shared" si="36"/>
        <v>1</v>
      </c>
    </row>
    <row r="2343" spans="1:3" x14ac:dyDescent="0.3">
      <c r="A2343">
        <v>2342</v>
      </c>
      <c r="B2343" s="7">
        <v>1016093.7040441749</v>
      </c>
      <c r="C2343">
        <f t="shared" si="36"/>
        <v>1</v>
      </c>
    </row>
    <row r="2344" spans="1:3" x14ac:dyDescent="0.3">
      <c r="A2344">
        <v>2343</v>
      </c>
      <c r="B2344" s="7">
        <v>1426387.8991605064</v>
      </c>
      <c r="C2344">
        <f t="shared" si="36"/>
        <v>1</v>
      </c>
    </row>
    <row r="2345" spans="1:3" x14ac:dyDescent="0.3">
      <c r="A2345">
        <v>2344</v>
      </c>
      <c r="B2345" s="7">
        <v>2084497.9447598699</v>
      </c>
      <c r="C2345">
        <f t="shared" si="36"/>
        <v>1</v>
      </c>
    </row>
    <row r="2346" spans="1:3" x14ac:dyDescent="0.3">
      <c r="A2346">
        <v>2345</v>
      </c>
      <c r="B2346" s="7">
        <v>7463266.2735297084</v>
      </c>
      <c r="C2346">
        <f t="shared" si="36"/>
        <v>1</v>
      </c>
    </row>
    <row r="2347" spans="1:3" x14ac:dyDescent="0.3">
      <c r="A2347">
        <v>2346</v>
      </c>
      <c r="B2347" s="7">
        <v>10179879.55772013</v>
      </c>
      <c r="C2347">
        <f t="shared" si="36"/>
        <v>1</v>
      </c>
    </row>
    <row r="2348" spans="1:3" x14ac:dyDescent="0.3">
      <c r="A2348">
        <v>2347</v>
      </c>
      <c r="B2348" s="7">
        <v>10983114.304943472</v>
      </c>
      <c r="C2348">
        <f t="shared" si="36"/>
        <v>1</v>
      </c>
    </row>
    <row r="2349" spans="1:3" x14ac:dyDescent="0.3">
      <c r="A2349">
        <v>2348</v>
      </c>
      <c r="B2349" s="7">
        <v>7298973.6563324342</v>
      </c>
      <c r="C2349">
        <f t="shared" si="36"/>
        <v>1</v>
      </c>
    </row>
    <row r="2350" spans="1:3" x14ac:dyDescent="0.3">
      <c r="A2350">
        <v>2349</v>
      </c>
      <c r="B2350" s="7">
        <v>21277846.593308516</v>
      </c>
      <c r="C2350">
        <f t="shared" si="36"/>
        <v>1</v>
      </c>
    </row>
    <row r="2351" spans="1:3" x14ac:dyDescent="0.3">
      <c r="A2351">
        <v>2350</v>
      </c>
      <c r="B2351" s="7">
        <v>6821186.5834177434</v>
      </c>
      <c r="C2351">
        <f t="shared" si="36"/>
        <v>1</v>
      </c>
    </row>
    <row r="2352" spans="1:3" x14ac:dyDescent="0.3">
      <c r="A2352">
        <v>2351</v>
      </c>
      <c r="B2352" s="7">
        <v>3116453.7033022256</v>
      </c>
      <c r="C2352">
        <f t="shared" si="36"/>
        <v>1</v>
      </c>
    </row>
    <row r="2353" spans="1:3" x14ac:dyDescent="0.3">
      <c r="A2353">
        <v>2352</v>
      </c>
      <c r="B2353" s="7">
        <v>5348248.710099617</v>
      </c>
      <c r="C2353">
        <f t="shared" si="36"/>
        <v>1</v>
      </c>
    </row>
    <row r="2354" spans="1:3" x14ac:dyDescent="0.3">
      <c r="A2354">
        <v>2353</v>
      </c>
      <c r="B2354" s="7">
        <v>3260968.1788109574</v>
      </c>
      <c r="C2354">
        <f t="shared" si="36"/>
        <v>1</v>
      </c>
    </row>
    <row r="2355" spans="1:3" x14ac:dyDescent="0.3">
      <c r="A2355">
        <v>2354</v>
      </c>
      <c r="B2355" s="7">
        <v>6293071.3360544173</v>
      </c>
      <c r="C2355">
        <f t="shared" si="36"/>
        <v>1</v>
      </c>
    </row>
    <row r="2356" spans="1:3" x14ac:dyDescent="0.3">
      <c r="A2356">
        <v>2355</v>
      </c>
      <c r="B2356" s="7">
        <v>9384352.8225252256</v>
      </c>
      <c r="C2356">
        <f t="shared" si="36"/>
        <v>1</v>
      </c>
    </row>
    <row r="2357" spans="1:3" x14ac:dyDescent="0.3">
      <c r="A2357">
        <v>2356</v>
      </c>
      <c r="B2357" s="7">
        <v>14795198.611658104</v>
      </c>
      <c r="C2357">
        <f t="shared" si="36"/>
        <v>1</v>
      </c>
    </row>
    <row r="2358" spans="1:3" x14ac:dyDescent="0.3">
      <c r="A2358">
        <v>2357</v>
      </c>
      <c r="B2358" s="7">
        <v>7185834.3283637585</v>
      </c>
      <c r="C2358">
        <f t="shared" si="36"/>
        <v>1</v>
      </c>
    </row>
    <row r="2359" spans="1:3" x14ac:dyDescent="0.3">
      <c r="A2359">
        <v>2358</v>
      </c>
      <c r="B2359" s="7">
        <v>3025192.2086900948</v>
      </c>
      <c r="C2359">
        <f t="shared" si="36"/>
        <v>1</v>
      </c>
    </row>
    <row r="2360" spans="1:3" x14ac:dyDescent="0.3">
      <c r="A2360">
        <v>2359</v>
      </c>
      <c r="B2360" s="7">
        <v>6831242.6249428596</v>
      </c>
      <c r="C2360">
        <f t="shared" si="36"/>
        <v>1</v>
      </c>
    </row>
    <row r="2361" spans="1:3" x14ac:dyDescent="0.3">
      <c r="A2361">
        <v>2360</v>
      </c>
      <c r="B2361" s="7">
        <v>9451362.1375911031</v>
      </c>
      <c r="C2361">
        <f t="shared" si="36"/>
        <v>1</v>
      </c>
    </row>
    <row r="2362" spans="1:3" x14ac:dyDescent="0.3">
      <c r="A2362">
        <v>2361</v>
      </c>
      <c r="B2362" s="7">
        <v>5323143.5725699319</v>
      </c>
      <c r="C2362">
        <f t="shared" si="36"/>
        <v>1</v>
      </c>
    </row>
    <row r="2363" spans="1:3" x14ac:dyDescent="0.3">
      <c r="A2363">
        <v>2362</v>
      </c>
      <c r="B2363" s="7">
        <v>2327211.8775863638</v>
      </c>
      <c r="C2363">
        <f t="shared" si="36"/>
        <v>1</v>
      </c>
    </row>
    <row r="2364" spans="1:3" x14ac:dyDescent="0.3">
      <c r="A2364">
        <v>2363</v>
      </c>
      <c r="B2364" s="7">
        <v>1291894.808631991</v>
      </c>
      <c r="C2364">
        <f t="shared" si="36"/>
        <v>1</v>
      </c>
    </row>
    <row r="2365" spans="1:3" x14ac:dyDescent="0.3">
      <c r="A2365">
        <v>2364</v>
      </c>
      <c r="B2365" s="7">
        <v>4107869.3769339295</v>
      </c>
      <c r="C2365">
        <f t="shared" si="36"/>
        <v>1</v>
      </c>
    </row>
    <row r="2366" spans="1:3" x14ac:dyDescent="0.3">
      <c r="A2366">
        <v>2365</v>
      </c>
      <c r="B2366" s="7">
        <v>5448221.0427082125</v>
      </c>
      <c r="C2366">
        <f t="shared" si="36"/>
        <v>1</v>
      </c>
    </row>
    <row r="2367" spans="1:3" x14ac:dyDescent="0.3">
      <c r="A2367">
        <v>2366</v>
      </c>
      <c r="B2367" s="7">
        <v>7865458.5177208008</v>
      </c>
      <c r="C2367">
        <f t="shared" si="36"/>
        <v>1</v>
      </c>
    </row>
    <row r="2368" spans="1:3" x14ac:dyDescent="0.3">
      <c r="A2368">
        <v>2367</v>
      </c>
      <c r="B2368" s="7">
        <v>2149944.5614902978</v>
      </c>
      <c r="C2368">
        <f t="shared" si="36"/>
        <v>1</v>
      </c>
    </row>
    <row r="2369" spans="1:3" x14ac:dyDescent="0.3">
      <c r="A2369">
        <v>2368</v>
      </c>
      <c r="B2369" s="7">
        <v>5650137.4238517554</v>
      </c>
      <c r="C2369">
        <f t="shared" si="36"/>
        <v>1</v>
      </c>
    </row>
    <row r="2370" spans="1:3" x14ac:dyDescent="0.3">
      <c r="A2370">
        <v>2369</v>
      </c>
      <c r="B2370" s="7">
        <v>7126946.6890020119</v>
      </c>
      <c r="C2370">
        <f t="shared" si="36"/>
        <v>1</v>
      </c>
    </row>
    <row r="2371" spans="1:3" x14ac:dyDescent="0.3">
      <c r="A2371">
        <v>2370</v>
      </c>
      <c r="B2371" s="7">
        <v>1450241.7620490096</v>
      </c>
      <c r="C2371">
        <f t="shared" ref="C2371:C2434" si="37">IF(B2371=0,0,1)</f>
        <v>1</v>
      </c>
    </row>
    <row r="2372" spans="1:3" x14ac:dyDescent="0.3">
      <c r="A2372">
        <v>2371</v>
      </c>
      <c r="B2372" s="7">
        <v>517650.55702463782</v>
      </c>
      <c r="C2372">
        <f t="shared" si="37"/>
        <v>1</v>
      </c>
    </row>
    <row r="2373" spans="1:3" x14ac:dyDescent="0.3">
      <c r="A2373">
        <v>2372</v>
      </c>
      <c r="B2373" s="7">
        <v>10670615.788290616</v>
      </c>
      <c r="C2373">
        <f t="shared" si="37"/>
        <v>1</v>
      </c>
    </row>
    <row r="2374" spans="1:3" x14ac:dyDescent="0.3">
      <c r="A2374">
        <v>2373</v>
      </c>
      <c r="B2374" s="7">
        <v>4844200.8868108438</v>
      </c>
      <c r="C2374">
        <f t="shared" si="37"/>
        <v>1</v>
      </c>
    </row>
    <row r="2375" spans="1:3" x14ac:dyDescent="0.3">
      <c r="A2375">
        <v>2374</v>
      </c>
      <c r="B2375" s="7">
        <v>1119946.1628292191</v>
      </c>
      <c r="C2375">
        <f t="shared" si="37"/>
        <v>1</v>
      </c>
    </row>
    <row r="2376" spans="1:3" x14ac:dyDescent="0.3">
      <c r="A2376">
        <v>2375</v>
      </c>
      <c r="B2376" s="7">
        <v>28767199.764138546</v>
      </c>
      <c r="C2376">
        <f t="shared" si="37"/>
        <v>1</v>
      </c>
    </row>
    <row r="2377" spans="1:3" x14ac:dyDescent="0.3">
      <c r="A2377">
        <v>2376</v>
      </c>
      <c r="B2377" s="7">
        <v>5618333.0452983677</v>
      </c>
      <c r="C2377">
        <f t="shared" si="37"/>
        <v>1</v>
      </c>
    </row>
    <row r="2378" spans="1:3" x14ac:dyDescent="0.3">
      <c r="A2378">
        <v>2377</v>
      </c>
      <c r="B2378" s="7">
        <v>4145166.7957683676</v>
      </c>
      <c r="C2378">
        <f t="shared" si="37"/>
        <v>1</v>
      </c>
    </row>
    <row r="2379" spans="1:3" x14ac:dyDescent="0.3">
      <c r="A2379">
        <v>2378</v>
      </c>
      <c r="B2379" s="7">
        <v>837588.31347847835</v>
      </c>
      <c r="C2379">
        <f t="shared" si="37"/>
        <v>1</v>
      </c>
    </row>
    <row r="2380" spans="1:3" x14ac:dyDescent="0.3">
      <c r="A2380">
        <v>2379</v>
      </c>
      <c r="B2380" s="7">
        <v>5451240.9615670722</v>
      </c>
      <c r="C2380">
        <f t="shared" si="37"/>
        <v>1</v>
      </c>
    </row>
    <row r="2381" spans="1:3" x14ac:dyDescent="0.3">
      <c r="A2381">
        <v>2380</v>
      </c>
      <c r="B2381" s="7">
        <v>2559237.8885467956</v>
      </c>
      <c r="C2381">
        <f t="shared" si="37"/>
        <v>1</v>
      </c>
    </row>
    <row r="2382" spans="1:3" x14ac:dyDescent="0.3">
      <c r="A2382">
        <v>2381</v>
      </c>
      <c r="B2382" s="7">
        <v>6159424.8764906554</v>
      </c>
      <c r="C2382">
        <f t="shared" si="37"/>
        <v>1</v>
      </c>
    </row>
    <row r="2383" spans="1:3" x14ac:dyDescent="0.3">
      <c r="A2383">
        <v>2382</v>
      </c>
      <c r="B2383" s="7">
        <v>6868219.196876334</v>
      </c>
      <c r="C2383">
        <f t="shared" si="37"/>
        <v>1</v>
      </c>
    </row>
    <row r="2384" spans="1:3" x14ac:dyDescent="0.3">
      <c r="A2384">
        <v>2383</v>
      </c>
      <c r="B2384" s="7">
        <v>6346809.4183682157</v>
      </c>
      <c r="C2384">
        <f t="shared" si="37"/>
        <v>1</v>
      </c>
    </row>
    <row r="2385" spans="1:3" x14ac:dyDescent="0.3">
      <c r="A2385">
        <v>2384</v>
      </c>
      <c r="B2385" s="7">
        <v>3415850.232033635</v>
      </c>
      <c r="C2385">
        <f t="shared" si="37"/>
        <v>1</v>
      </c>
    </row>
    <row r="2386" spans="1:3" x14ac:dyDescent="0.3">
      <c r="A2386">
        <v>2385</v>
      </c>
      <c r="B2386" s="7">
        <v>3548169.659664785</v>
      </c>
      <c r="C2386">
        <f t="shared" si="37"/>
        <v>1</v>
      </c>
    </row>
    <row r="2387" spans="1:3" x14ac:dyDescent="0.3">
      <c r="A2387">
        <v>2386</v>
      </c>
      <c r="B2387" s="7">
        <v>8890427.2330611758</v>
      </c>
      <c r="C2387">
        <f t="shared" si="37"/>
        <v>1</v>
      </c>
    </row>
    <row r="2388" spans="1:3" x14ac:dyDescent="0.3">
      <c r="A2388">
        <v>2387</v>
      </c>
      <c r="B2388" s="7">
        <v>2916907.0807131943</v>
      </c>
      <c r="C2388">
        <f t="shared" si="37"/>
        <v>1</v>
      </c>
    </row>
    <row r="2389" spans="1:3" x14ac:dyDescent="0.3">
      <c r="A2389">
        <v>2388</v>
      </c>
      <c r="B2389" s="7">
        <v>6635095.727338505</v>
      </c>
      <c r="C2389">
        <f t="shared" si="37"/>
        <v>1</v>
      </c>
    </row>
    <row r="2390" spans="1:3" x14ac:dyDescent="0.3">
      <c r="A2390">
        <v>2389</v>
      </c>
      <c r="B2390" s="7">
        <v>4608870.8441641629</v>
      </c>
      <c r="C2390">
        <f t="shared" si="37"/>
        <v>1</v>
      </c>
    </row>
    <row r="2391" spans="1:3" x14ac:dyDescent="0.3">
      <c r="A2391">
        <v>2390</v>
      </c>
      <c r="B2391" s="7">
        <v>16672154.910425801</v>
      </c>
      <c r="C2391">
        <f t="shared" si="37"/>
        <v>1</v>
      </c>
    </row>
    <row r="2392" spans="1:3" x14ac:dyDescent="0.3">
      <c r="A2392">
        <v>2391</v>
      </c>
      <c r="B2392" s="7">
        <v>7774931.0693845078</v>
      </c>
      <c r="C2392">
        <f t="shared" si="37"/>
        <v>1</v>
      </c>
    </row>
    <row r="2393" spans="1:3" x14ac:dyDescent="0.3">
      <c r="A2393">
        <v>2392</v>
      </c>
      <c r="B2393" s="7">
        <v>1638676.5451618633</v>
      </c>
      <c r="C2393">
        <f t="shared" si="37"/>
        <v>1</v>
      </c>
    </row>
    <row r="2394" spans="1:3" x14ac:dyDescent="0.3">
      <c r="A2394">
        <v>2393</v>
      </c>
      <c r="B2394" s="7">
        <v>3717250.4701098073</v>
      </c>
      <c r="C2394">
        <f t="shared" si="37"/>
        <v>1</v>
      </c>
    </row>
    <row r="2395" spans="1:3" x14ac:dyDescent="0.3">
      <c r="A2395">
        <v>2394</v>
      </c>
      <c r="B2395" s="7">
        <v>127636.87870759136</v>
      </c>
      <c r="C2395">
        <f t="shared" si="37"/>
        <v>1</v>
      </c>
    </row>
    <row r="2396" spans="1:3" x14ac:dyDescent="0.3">
      <c r="A2396">
        <v>2395</v>
      </c>
      <c r="B2396" s="7">
        <v>4857251.8239074508</v>
      </c>
      <c r="C2396">
        <f t="shared" si="37"/>
        <v>1</v>
      </c>
    </row>
    <row r="2397" spans="1:3" x14ac:dyDescent="0.3">
      <c r="A2397">
        <v>2396</v>
      </c>
      <c r="B2397" s="7">
        <v>11905130.347280234</v>
      </c>
      <c r="C2397">
        <f t="shared" si="37"/>
        <v>1</v>
      </c>
    </row>
    <row r="2398" spans="1:3" x14ac:dyDescent="0.3">
      <c r="A2398">
        <v>2397</v>
      </c>
      <c r="B2398" s="7">
        <v>2261970.1345256236</v>
      </c>
      <c r="C2398">
        <f t="shared" si="37"/>
        <v>1</v>
      </c>
    </row>
    <row r="2399" spans="1:3" x14ac:dyDescent="0.3">
      <c r="A2399">
        <v>2398</v>
      </c>
      <c r="B2399" s="7">
        <v>4859524.0906362636</v>
      </c>
      <c r="C2399">
        <f t="shared" si="37"/>
        <v>1</v>
      </c>
    </row>
    <row r="2400" spans="1:3" x14ac:dyDescent="0.3">
      <c r="A2400">
        <v>2399</v>
      </c>
      <c r="B2400" s="7">
        <v>5990594.3665866153</v>
      </c>
      <c r="C2400">
        <f t="shared" si="37"/>
        <v>1</v>
      </c>
    </row>
    <row r="2401" spans="1:3" x14ac:dyDescent="0.3">
      <c r="A2401">
        <v>2400</v>
      </c>
      <c r="B2401" s="7">
        <v>7772112.8861838514</v>
      </c>
      <c r="C2401">
        <f t="shared" si="37"/>
        <v>1</v>
      </c>
    </row>
    <row r="2402" spans="1:3" x14ac:dyDescent="0.3">
      <c r="A2402">
        <v>2401</v>
      </c>
      <c r="B2402" s="7">
        <v>2656710.4926006901</v>
      </c>
      <c r="C2402">
        <f t="shared" si="37"/>
        <v>1</v>
      </c>
    </row>
    <row r="2403" spans="1:3" x14ac:dyDescent="0.3">
      <c r="A2403">
        <v>2402</v>
      </c>
      <c r="B2403" s="7">
        <v>7058173.2840820765</v>
      </c>
      <c r="C2403">
        <f t="shared" si="37"/>
        <v>1</v>
      </c>
    </row>
    <row r="2404" spans="1:3" x14ac:dyDescent="0.3">
      <c r="A2404">
        <v>2403</v>
      </c>
      <c r="B2404" s="7">
        <v>4166712.4906891077</v>
      </c>
      <c r="C2404">
        <f t="shared" si="37"/>
        <v>1</v>
      </c>
    </row>
    <row r="2405" spans="1:3" x14ac:dyDescent="0.3">
      <c r="A2405">
        <v>2404</v>
      </c>
      <c r="B2405" s="7">
        <v>5407321.8038425334</v>
      </c>
      <c r="C2405">
        <f t="shared" si="37"/>
        <v>1</v>
      </c>
    </row>
    <row r="2406" spans="1:3" x14ac:dyDescent="0.3">
      <c r="A2406">
        <v>2405</v>
      </c>
      <c r="B2406" s="7">
        <v>3762324.133915145</v>
      </c>
      <c r="C2406">
        <f t="shared" si="37"/>
        <v>1</v>
      </c>
    </row>
    <row r="2407" spans="1:3" x14ac:dyDescent="0.3">
      <c r="A2407">
        <v>2406</v>
      </c>
      <c r="B2407" s="7">
        <v>5358974.3688037358</v>
      </c>
      <c r="C2407">
        <f t="shared" si="37"/>
        <v>1</v>
      </c>
    </row>
    <row r="2408" spans="1:3" x14ac:dyDescent="0.3">
      <c r="A2408">
        <v>2407</v>
      </c>
      <c r="B2408" s="7">
        <v>8807862.5408661123</v>
      </c>
      <c r="C2408">
        <f t="shared" si="37"/>
        <v>1</v>
      </c>
    </row>
    <row r="2409" spans="1:3" x14ac:dyDescent="0.3">
      <c r="A2409">
        <v>2408</v>
      </c>
      <c r="B2409" s="7">
        <v>3353265.683950264</v>
      </c>
      <c r="C2409">
        <f t="shared" si="37"/>
        <v>1</v>
      </c>
    </row>
    <row r="2410" spans="1:3" x14ac:dyDescent="0.3">
      <c r="A2410">
        <v>2409</v>
      </c>
      <c r="B2410" s="7">
        <v>1182499.2302525952</v>
      </c>
      <c r="C2410">
        <f t="shared" si="37"/>
        <v>1</v>
      </c>
    </row>
    <row r="2411" spans="1:3" x14ac:dyDescent="0.3">
      <c r="A2411">
        <v>2410</v>
      </c>
      <c r="B2411" s="7">
        <v>2960966.8154702969</v>
      </c>
      <c r="C2411">
        <f t="shared" si="37"/>
        <v>1</v>
      </c>
    </row>
    <row r="2412" spans="1:3" x14ac:dyDescent="0.3">
      <c r="A2412">
        <v>2411</v>
      </c>
      <c r="B2412" s="7">
        <v>4116985.4766973355</v>
      </c>
      <c r="C2412">
        <f t="shared" si="37"/>
        <v>1</v>
      </c>
    </row>
    <row r="2413" spans="1:3" x14ac:dyDescent="0.3">
      <c r="A2413">
        <v>2412</v>
      </c>
      <c r="B2413" s="7">
        <v>5683285.0882352609</v>
      </c>
      <c r="C2413">
        <f t="shared" si="37"/>
        <v>1</v>
      </c>
    </row>
    <row r="2414" spans="1:3" x14ac:dyDescent="0.3">
      <c r="A2414">
        <v>2413</v>
      </c>
      <c r="B2414" s="7">
        <v>16966654.305577837</v>
      </c>
      <c r="C2414">
        <f t="shared" si="37"/>
        <v>1</v>
      </c>
    </row>
    <row r="2415" spans="1:3" x14ac:dyDescent="0.3">
      <c r="A2415">
        <v>2414</v>
      </c>
      <c r="B2415" s="7">
        <v>1793241.9302848035</v>
      </c>
      <c r="C2415">
        <f t="shared" si="37"/>
        <v>1</v>
      </c>
    </row>
    <row r="2416" spans="1:3" x14ac:dyDescent="0.3">
      <c r="A2416">
        <v>2415</v>
      </c>
      <c r="B2416" s="7">
        <v>17414296.102780938</v>
      </c>
      <c r="C2416">
        <f t="shared" si="37"/>
        <v>1</v>
      </c>
    </row>
    <row r="2417" spans="1:3" x14ac:dyDescent="0.3">
      <c r="A2417">
        <v>2416</v>
      </c>
      <c r="B2417" s="7">
        <v>5899416.1748091374</v>
      </c>
      <c r="C2417">
        <f t="shared" si="37"/>
        <v>1</v>
      </c>
    </row>
    <row r="2418" spans="1:3" x14ac:dyDescent="0.3">
      <c r="A2418">
        <v>2417</v>
      </c>
      <c r="B2418" s="7">
        <v>3060348.8461164497</v>
      </c>
      <c r="C2418">
        <f t="shared" si="37"/>
        <v>1</v>
      </c>
    </row>
    <row r="2419" spans="1:3" x14ac:dyDescent="0.3">
      <c r="A2419">
        <v>2418</v>
      </c>
      <c r="B2419" s="7">
        <v>4702590.6280298717</v>
      </c>
      <c r="C2419">
        <f t="shared" si="37"/>
        <v>1</v>
      </c>
    </row>
    <row r="2420" spans="1:3" x14ac:dyDescent="0.3">
      <c r="A2420">
        <v>2419</v>
      </c>
      <c r="B2420" s="7">
        <v>3238741.2717139795</v>
      </c>
      <c r="C2420">
        <f t="shared" si="37"/>
        <v>1</v>
      </c>
    </row>
    <row r="2421" spans="1:3" x14ac:dyDescent="0.3">
      <c r="A2421">
        <v>2420</v>
      </c>
      <c r="B2421" s="7">
        <v>6385403.2800067225</v>
      </c>
      <c r="C2421">
        <f t="shared" si="37"/>
        <v>1</v>
      </c>
    </row>
    <row r="2422" spans="1:3" x14ac:dyDescent="0.3">
      <c r="A2422">
        <v>2421</v>
      </c>
      <c r="B2422" s="7">
        <v>3080200.0008630571</v>
      </c>
      <c r="C2422">
        <f t="shared" si="37"/>
        <v>1</v>
      </c>
    </row>
    <row r="2423" spans="1:3" x14ac:dyDescent="0.3">
      <c r="A2423">
        <v>2422</v>
      </c>
      <c r="B2423" s="7">
        <v>2229326.5769579858</v>
      </c>
      <c r="C2423">
        <f t="shared" si="37"/>
        <v>1</v>
      </c>
    </row>
    <row r="2424" spans="1:3" x14ac:dyDescent="0.3">
      <c r="A2424">
        <v>2423</v>
      </c>
      <c r="B2424" s="7">
        <v>3580523.780775405</v>
      </c>
      <c r="C2424">
        <f t="shared" si="37"/>
        <v>1</v>
      </c>
    </row>
    <row r="2425" spans="1:3" x14ac:dyDescent="0.3">
      <c r="A2425">
        <v>2424</v>
      </c>
      <c r="B2425" s="7">
        <v>0</v>
      </c>
      <c r="C2425">
        <f t="shared" si="37"/>
        <v>0</v>
      </c>
    </row>
    <row r="2426" spans="1:3" x14ac:dyDescent="0.3">
      <c r="A2426">
        <v>2425</v>
      </c>
      <c r="B2426" s="7">
        <v>4571598.7998247435</v>
      </c>
      <c r="C2426">
        <f t="shared" si="37"/>
        <v>1</v>
      </c>
    </row>
    <row r="2427" spans="1:3" x14ac:dyDescent="0.3">
      <c r="A2427">
        <v>2426</v>
      </c>
      <c r="B2427" s="7">
        <v>12207158.02839897</v>
      </c>
      <c r="C2427">
        <f t="shared" si="37"/>
        <v>1</v>
      </c>
    </row>
    <row r="2428" spans="1:3" x14ac:dyDescent="0.3">
      <c r="A2428">
        <v>2427</v>
      </c>
      <c r="B2428" s="7">
        <v>5014548.5672359327</v>
      </c>
      <c r="C2428">
        <f t="shared" si="37"/>
        <v>1</v>
      </c>
    </row>
    <row r="2429" spans="1:3" x14ac:dyDescent="0.3">
      <c r="A2429">
        <v>2428</v>
      </c>
      <c r="B2429" s="7">
        <v>6276767.3549565542</v>
      </c>
      <c r="C2429">
        <f t="shared" si="37"/>
        <v>1</v>
      </c>
    </row>
    <row r="2430" spans="1:3" x14ac:dyDescent="0.3">
      <c r="A2430">
        <v>2429</v>
      </c>
      <c r="B2430" s="7">
        <v>758118.60202102456</v>
      </c>
      <c r="C2430">
        <f t="shared" si="37"/>
        <v>1</v>
      </c>
    </row>
    <row r="2431" spans="1:3" x14ac:dyDescent="0.3">
      <c r="A2431">
        <v>2430</v>
      </c>
      <c r="B2431" s="7">
        <v>2526634.4178714845</v>
      </c>
      <c r="C2431">
        <f t="shared" si="37"/>
        <v>1</v>
      </c>
    </row>
    <row r="2432" spans="1:3" x14ac:dyDescent="0.3">
      <c r="A2432">
        <v>2431</v>
      </c>
      <c r="B2432" s="7">
        <v>5449291.760072384</v>
      </c>
      <c r="C2432">
        <f t="shared" si="37"/>
        <v>1</v>
      </c>
    </row>
    <row r="2433" spans="1:3" x14ac:dyDescent="0.3">
      <c r="A2433">
        <v>2432</v>
      </c>
      <c r="B2433" s="7">
        <v>11516340.354514556</v>
      </c>
      <c r="C2433">
        <f t="shared" si="37"/>
        <v>1</v>
      </c>
    </row>
    <row r="2434" spans="1:3" x14ac:dyDescent="0.3">
      <c r="A2434">
        <v>2433</v>
      </c>
      <c r="B2434" s="7">
        <v>9346986.883276077</v>
      </c>
      <c r="C2434">
        <f t="shared" si="37"/>
        <v>1</v>
      </c>
    </row>
    <row r="2435" spans="1:3" x14ac:dyDescent="0.3">
      <c r="A2435">
        <v>2434</v>
      </c>
      <c r="B2435" s="7">
        <v>2031271.868427254</v>
      </c>
      <c r="C2435">
        <f t="shared" ref="C2435:C2498" si="38">IF(B2435=0,0,1)</f>
        <v>1</v>
      </c>
    </row>
    <row r="2436" spans="1:3" x14ac:dyDescent="0.3">
      <c r="A2436">
        <v>2435</v>
      </c>
      <c r="B2436" s="7">
        <v>8493478.4284999855</v>
      </c>
      <c r="C2436">
        <f t="shared" si="38"/>
        <v>1</v>
      </c>
    </row>
    <row r="2437" spans="1:3" x14ac:dyDescent="0.3">
      <c r="A2437">
        <v>2436</v>
      </c>
      <c r="B2437" s="7">
        <v>5507214.8311694209</v>
      </c>
      <c r="C2437">
        <f t="shared" si="38"/>
        <v>1</v>
      </c>
    </row>
    <row r="2438" spans="1:3" x14ac:dyDescent="0.3">
      <c r="A2438">
        <v>2437</v>
      </c>
      <c r="B2438" s="7">
        <v>5791245.0638545696</v>
      </c>
      <c r="C2438">
        <f t="shared" si="38"/>
        <v>1</v>
      </c>
    </row>
    <row r="2439" spans="1:3" x14ac:dyDescent="0.3">
      <c r="A2439">
        <v>2438</v>
      </c>
      <c r="B2439" s="7">
        <v>4115313.4802358774</v>
      </c>
      <c r="C2439">
        <f t="shared" si="38"/>
        <v>1</v>
      </c>
    </row>
    <row r="2440" spans="1:3" x14ac:dyDescent="0.3">
      <c r="A2440">
        <v>2439</v>
      </c>
      <c r="B2440" s="7">
        <v>9240077.1024438962</v>
      </c>
      <c r="C2440">
        <f t="shared" si="38"/>
        <v>1</v>
      </c>
    </row>
    <row r="2441" spans="1:3" x14ac:dyDescent="0.3">
      <c r="A2441">
        <v>2440</v>
      </c>
      <c r="B2441" s="7">
        <v>16149574.068065114</v>
      </c>
      <c r="C2441">
        <f t="shared" si="38"/>
        <v>1</v>
      </c>
    </row>
    <row r="2442" spans="1:3" x14ac:dyDescent="0.3">
      <c r="A2442">
        <v>2441</v>
      </c>
      <c r="B2442" s="7">
        <v>6461632.9464286519</v>
      </c>
      <c r="C2442">
        <f t="shared" si="38"/>
        <v>1</v>
      </c>
    </row>
    <row r="2443" spans="1:3" x14ac:dyDescent="0.3">
      <c r="A2443">
        <v>2442</v>
      </c>
      <c r="B2443" s="7">
        <v>192832.47995776177</v>
      </c>
      <c r="C2443">
        <f t="shared" si="38"/>
        <v>1</v>
      </c>
    </row>
    <row r="2444" spans="1:3" x14ac:dyDescent="0.3">
      <c r="A2444">
        <v>2443</v>
      </c>
      <c r="B2444" s="7">
        <v>3465675.6741040181</v>
      </c>
      <c r="C2444">
        <f t="shared" si="38"/>
        <v>1</v>
      </c>
    </row>
    <row r="2445" spans="1:3" x14ac:dyDescent="0.3">
      <c r="A2445">
        <v>2444</v>
      </c>
      <c r="B2445" s="7">
        <v>8273633.0457792562</v>
      </c>
      <c r="C2445">
        <f t="shared" si="38"/>
        <v>1</v>
      </c>
    </row>
    <row r="2446" spans="1:3" x14ac:dyDescent="0.3">
      <c r="A2446">
        <v>2445</v>
      </c>
      <c r="B2446" s="7">
        <v>3866468.6088132318</v>
      </c>
      <c r="C2446">
        <f t="shared" si="38"/>
        <v>1</v>
      </c>
    </row>
    <row r="2447" spans="1:3" x14ac:dyDescent="0.3">
      <c r="A2447">
        <v>2446</v>
      </c>
      <c r="B2447" s="7">
        <v>5664146.2532425774</v>
      </c>
      <c r="C2447">
        <f t="shared" si="38"/>
        <v>1</v>
      </c>
    </row>
    <row r="2448" spans="1:3" x14ac:dyDescent="0.3">
      <c r="A2448">
        <v>2447</v>
      </c>
      <c r="B2448" s="7">
        <v>5978484.2561096586</v>
      </c>
      <c r="C2448">
        <f t="shared" si="38"/>
        <v>1</v>
      </c>
    </row>
    <row r="2449" spans="1:3" x14ac:dyDescent="0.3">
      <c r="A2449">
        <v>2448</v>
      </c>
      <c r="B2449" s="7">
        <v>6161118.9365938166</v>
      </c>
      <c r="C2449">
        <f t="shared" si="38"/>
        <v>1</v>
      </c>
    </row>
    <row r="2450" spans="1:3" x14ac:dyDescent="0.3">
      <c r="A2450">
        <v>2449</v>
      </c>
      <c r="B2450" s="7">
        <v>4381529.7027019942</v>
      </c>
      <c r="C2450">
        <f t="shared" si="38"/>
        <v>1</v>
      </c>
    </row>
    <row r="2451" spans="1:3" x14ac:dyDescent="0.3">
      <c r="A2451">
        <v>2450</v>
      </c>
      <c r="B2451" s="7">
        <v>8101846.8999851309</v>
      </c>
      <c r="C2451">
        <f t="shared" si="38"/>
        <v>1</v>
      </c>
    </row>
    <row r="2452" spans="1:3" x14ac:dyDescent="0.3">
      <c r="A2452">
        <v>2451</v>
      </c>
      <c r="B2452" s="7">
        <v>15553994.671753023</v>
      </c>
      <c r="C2452">
        <f t="shared" si="38"/>
        <v>1</v>
      </c>
    </row>
    <row r="2453" spans="1:3" x14ac:dyDescent="0.3">
      <c r="A2453">
        <v>2452</v>
      </c>
      <c r="B2453" s="7">
        <v>11249766.048157817</v>
      </c>
      <c r="C2453">
        <f t="shared" si="38"/>
        <v>1</v>
      </c>
    </row>
    <row r="2454" spans="1:3" x14ac:dyDescent="0.3">
      <c r="A2454">
        <v>2453</v>
      </c>
      <c r="B2454" s="7">
        <v>11202856.083622683</v>
      </c>
      <c r="C2454">
        <f t="shared" si="38"/>
        <v>1</v>
      </c>
    </row>
    <row r="2455" spans="1:3" x14ac:dyDescent="0.3">
      <c r="A2455">
        <v>2454</v>
      </c>
      <c r="B2455" s="7">
        <v>9912625.7384319641</v>
      </c>
      <c r="C2455">
        <f t="shared" si="38"/>
        <v>1</v>
      </c>
    </row>
    <row r="2456" spans="1:3" x14ac:dyDescent="0.3">
      <c r="A2456">
        <v>2455</v>
      </c>
      <c r="B2456" s="7">
        <v>2863513.4206875805</v>
      </c>
      <c r="C2456">
        <f t="shared" si="38"/>
        <v>1</v>
      </c>
    </row>
    <row r="2457" spans="1:3" x14ac:dyDescent="0.3">
      <c r="A2457">
        <v>2456</v>
      </c>
      <c r="B2457" s="7">
        <v>2961084.9350073347</v>
      </c>
      <c r="C2457">
        <f t="shared" si="38"/>
        <v>1</v>
      </c>
    </row>
    <row r="2458" spans="1:3" x14ac:dyDescent="0.3">
      <c r="A2458">
        <v>2457</v>
      </c>
      <c r="B2458" s="7">
        <v>1641268.2975682721</v>
      </c>
      <c r="C2458">
        <f t="shared" si="38"/>
        <v>1</v>
      </c>
    </row>
    <row r="2459" spans="1:3" x14ac:dyDescent="0.3">
      <c r="A2459">
        <v>2458</v>
      </c>
      <c r="B2459" s="7">
        <v>1255988.2693145913</v>
      </c>
      <c r="C2459">
        <f t="shared" si="38"/>
        <v>1</v>
      </c>
    </row>
    <row r="2460" spans="1:3" x14ac:dyDescent="0.3">
      <c r="A2460">
        <v>2459</v>
      </c>
      <c r="B2460" s="7">
        <v>8447872.891963549</v>
      </c>
      <c r="C2460">
        <f t="shared" si="38"/>
        <v>1</v>
      </c>
    </row>
    <row r="2461" spans="1:3" x14ac:dyDescent="0.3">
      <c r="A2461">
        <v>2460</v>
      </c>
      <c r="B2461" s="7">
        <v>3352294.8671783777</v>
      </c>
      <c r="C2461">
        <f t="shared" si="38"/>
        <v>1</v>
      </c>
    </row>
    <row r="2462" spans="1:3" x14ac:dyDescent="0.3">
      <c r="A2462">
        <v>2461</v>
      </c>
      <c r="B2462" s="7">
        <v>6166855.8822968788</v>
      </c>
      <c r="C2462">
        <f t="shared" si="38"/>
        <v>1</v>
      </c>
    </row>
    <row r="2463" spans="1:3" x14ac:dyDescent="0.3">
      <c r="A2463">
        <v>2462</v>
      </c>
      <c r="B2463" s="7">
        <v>3975167.6669023847</v>
      </c>
      <c r="C2463">
        <f t="shared" si="38"/>
        <v>1</v>
      </c>
    </row>
    <row r="2464" spans="1:3" x14ac:dyDescent="0.3">
      <c r="A2464">
        <v>2463</v>
      </c>
      <c r="B2464" s="7">
        <v>0</v>
      </c>
      <c r="C2464">
        <f t="shared" si="38"/>
        <v>0</v>
      </c>
    </row>
    <row r="2465" spans="1:3" x14ac:dyDescent="0.3">
      <c r="A2465">
        <v>2464</v>
      </c>
      <c r="B2465" s="7">
        <v>9976403.6561172679</v>
      </c>
      <c r="C2465">
        <f t="shared" si="38"/>
        <v>1</v>
      </c>
    </row>
    <row r="2466" spans="1:3" x14ac:dyDescent="0.3">
      <c r="A2466">
        <v>2465</v>
      </c>
      <c r="B2466" s="7">
        <v>2938494.8582378891</v>
      </c>
      <c r="C2466">
        <f t="shared" si="38"/>
        <v>1</v>
      </c>
    </row>
    <row r="2467" spans="1:3" x14ac:dyDescent="0.3">
      <c r="A2467">
        <v>2466</v>
      </c>
      <c r="B2467" s="7">
        <v>5651130.6795703545</v>
      </c>
      <c r="C2467">
        <f t="shared" si="38"/>
        <v>1</v>
      </c>
    </row>
    <row r="2468" spans="1:3" x14ac:dyDescent="0.3">
      <c r="A2468">
        <v>2467</v>
      </c>
      <c r="B2468" s="7">
        <v>4906908.6931704963</v>
      </c>
      <c r="C2468">
        <f t="shared" si="38"/>
        <v>1</v>
      </c>
    </row>
    <row r="2469" spans="1:3" x14ac:dyDescent="0.3">
      <c r="A2469">
        <v>2468</v>
      </c>
      <c r="B2469" s="7">
        <v>19749231.532981459</v>
      </c>
      <c r="C2469">
        <f t="shared" si="38"/>
        <v>1</v>
      </c>
    </row>
    <row r="2470" spans="1:3" x14ac:dyDescent="0.3">
      <c r="A2470">
        <v>2469</v>
      </c>
      <c r="B2470" s="7">
        <v>4837656.9919281257</v>
      </c>
      <c r="C2470">
        <f t="shared" si="38"/>
        <v>1</v>
      </c>
    </row>
    <row r="2471" spans="1:3" x14ac:dyDescent="0.3">
      <c r="A2471">
        <v>2470</v>
      </c>
      <c r="B2471" s="7">
        <v>1042164.7764614688</v>
      </c>
      <c r="C2471">
        <f t="shared" si="38"/>
        <v>1</v>
      </c>
    </row>
    <row r="2472" spans="1:3" x14ac:dyDescent="0.3">
      <c r="A2472">
        <v>2471</v>
      </c>
      <c r="B2472" s="7">
        <v>6849968.8831044659</v>
      </c>
      <c r="C2472">
        <f t="shared" si="38"/>
        <v>1</v>
      </c>
    </row>
    <row r="2473" spans="1:3" x14ac:dyDescent="0.3">
      <c r="A2473">
        <v>2472</v>
      </c>
      <c r="B2473" s="7">
        <v>7527094.371234186</v>
      </c>
      <c r="C2473">
        <f t="shared" si="38"/>
        <v>1</v>
      </c>
    </row>
    <row r="2474" spans="1:3" x14ac:dyDescent="0.3">
      <c r="A2474">
        <v>2473</v>
      </c>
      <c r="B2474" s="7">
        <v>7077323.5752116702</v>
      </c>
      <c r="C2474">
        <f t="shared" si="38"/>
        <v>1</v>
      </c>
    </row>
    <row r="2475" spans="1:3" x14ac:dyDescent="0.3">
      <c r="A2475">
        <v>2474</v>
      </c>
      <c r="B2475" s="7">
        <v>7758124.2420838196</v>
      </c>
      <c r="C2475">
        <f t="shared" si="38"/>
        <v>1</v>
      </c>
    </row>
    <row r="2476" spans="1:3" x14ac:dyDescent="0.3">
      <c r="A2476">
        <v>2475</v>
      </c>
      <c r="B2476" s="7">
        <v>0</v>
      </c>
      <c r="C2476">
        <f t="shared" si="38"/>
        <v>0</v>
      </c>
    </row>
    <row r="2477" spans="1:3" x14ac:dyDescent="0.3">
      <c r="A2477">
        <v>2476</v>
      </c>
      <c r="B2477" s="7">
        <v>4168914.6161272419</v>
      </c>
      <c r="C2477">
        <f t="shared" si="38"/>
        <v>1</v>
      </c>
    </row>
    <row r="2478" spans="1:3" x14ac:dyDescent="0.3">
      <c r="A2478">
        <v>2477</v>
      </c>
      <c r="B2478" s="7">
        <v>3649217.4288583575</v>
      </c>
      <c r="C2478">
        <f t="shared" si="38"/>
        <v>1</v>
      </c>
    </row>
    <row r="2479" spans="1:3" x14ac:dyDescent="0.3">
      <c r="A2479">
        <v>2478</v>
      </c>
      <c r="B2479" s="7">
        <v>3573603.091409272</v>
      </c>
      <c r="C2479">
        <f t="shared" si="38"/>
        <v>1</v>
      </c>
    </row>
    <row r="2480" spans="1:3" x14ac:dyDescent="0.3">
      <c r="A2480">
        <v>2479</v>
      </c>
      <c r="B2480" s="7">
        <v>7127522.1943847528</v>
      </c>
      <c r="C2480">
        <f t="shared" si="38"/>
        <v>1</v>
      </c>
    </row>
    <row r="2481" spans="1:3" x14ac:dyDescent="0.3">
      <c r="A2481">
        <v>2480</v>
      </c>
      <c r="B2481" s="7">
        <v>4419589.0867022881</v>
      </c>
      <c r="C2481">
        <f t="shared" si="38"/>
        <v>1</v>
      </c>
    </row>
    <row r="2482" spans="1:3" x14ac:dyDescent="0.3">
      <c r="A2482">
        <v>2481</v>
      </c>
      <c r="B2482" s="7">
        <v>4979233.0128787188</v>
      </c>
      <c r="C2482">
        <f t="shared" si="38"/>
        <v>1</v>
      </c>
    </row>
    <row r="2483" spans="1:3" x14ac:dyDescent="0.3">
      <c r="A2483">
        <v>2482</v>
      </c>
      <c r="B2483" s="7">
        <v>6177421.1643517008</v>
      </c>
      <c r="C2483">
        <f t="shared" si="38"/>
        <v>1</v>
      </c>
    </row>
    <row r="2484" spans="1:3" x14ac:dyDescent="0.3">
      <c r="A2484">
        <v>2483</v>
      </c>
      <c r="B2484" s="7">
        <v>7417985.307281848</v>
      </c>
      <c r="C2484">
        <f t="shared" si="38"/>
        <v>1</v>
      </c>
    </row>
    <row r="2485" spans="1:3" x14ac:dyDescent="0.3">
      <c r="A2485">
        <v>2484</v>
      </c>
      <c r="B2485" s="7">
        <v>16266769.759137105</v>
      </c>
      <c r="C2485">
        <f t="shared" si="38"/>
        <v>1</v>
      </c>
    </row>
    <row r="2486" spans="1:3" x14ac:dyDescent="0.3">
      <c r="A2486">
        <v>2485</v>
      </c>
      <c r="B2486" s="7">
        <v>6069433.992374043</v>
      </c>
      <c r="C2486">
        <f t="shared" si="38"/>
        <v>1</v>
      </c>
    </row>
    <row r="2487" spans="1:3" x14ac:dyDescent="0.3">
      <c r="A2487">
        <v>2486</v>
      </c>
      <c r="B2487" s="7">
        <v>3011881.3356128349</v>
      </c>
      <c r="C2487">
        <f t="shared" si="38"/>
        <v>1</v>
      </c>
    </row>
    <row r="2488" spans="1:3" x14ac:dyDescent="0.3">
      <c r="A2488">
        <v>2487</v>
      </c>
      <c r="B2488" s="7">
        <v>6184270.5851124404</v>
      </c>
      <c r="C2488">
        <f t="shared" si="38"/>
        <v>1</v>
      </c>
    </row>
    <row r="2489" spans="1:3" x14ac:dyDescent="0.3">
      <c r="A2489">
        <v>2488</v>
      </c>
      <c r="B2489" s="7">
        <v>18819562.938655633</v>
      </c>
      <c r="C2489">
        <f t="shared" si="38"/>
        <v>1</v>
      </c>
    </row>
    <row r="2490" spans="1:3" x14ac:dyDescent="0.3">
      <c r="A2490">
        <v>2489</v>
      </c>
      <c r="B2490" s="7">
        <v>7253051.0993411541</v>
      </c>
      <c r="C2490">
        <f t="shared" si="38"/>
        <v>1</v>
      </c>
    </row>
    <row r="2491" spans="1:3" x14ac:dyDescent="0.3">
      <c r="A2491">
        <v>2490</v>
      </c>
      <c r="B2491" s="7">
        <v>680126.81144884927</v>
      </c>
      <c r="C2491">
        <f t="shared" si="38"/>
        <v>1</v>
      </c>
    </row>
    <row r="2492" spans="1:3" x14ac:dyDescent="0.3">
      <c r="A2492">
        <v>2491</v>
      </c>
      <c r="B2492" s="7">
        <v>30104193.29021639</v>
      </c>
      <c r="C2492">
        <f t="shared" si="38"/>
        <v>1</v>
      </c>
    </row>
    <row r="2493" spans="1:3" x14ac:dyDescent="0.3">
      <c r="A2493">
        <v>2492</v>
      </c>
      <c r="B2493" s="7">
        <v>8377236.8287967984</v>
      </c>
      <c r="C2493">
        <f t="shared" si="38"/>
        <v>1</v>
      </c>
    </row>
    <row r="2494" spans="1:3" x14ac:dyDescent="0.3">
      <c r="A2494">
        <v>2493</v>
      </c>
      <c r="B2494" s="7">
        <v>3497045.4552115682</v>
      </c>
      <c r="C2494">
        <f t="shared" si="38"/>
        <v>1</v>
      </c>
    </row>
    <row r="2495" spans="1:3" x14ac:dyDescent="0.3">
      <c r="A2495">
        <v>2494</v>
      </c>
      <c r="B2495" s="7">
        <v>7034201.1010508668</v>
      </c>
      <c r="C2495">
        <f t="shared" si="38"/>
        <v>1</v>
      </c>
    </row>
    <row r="2496" spans="1:3" x14ac:dyDescent="0.3">
      <c r="A2496">
        <v>2495</v>
      </c>
      <c r="B2496" s="7">
        <v>2260343.8404289838</v>
      </c>
      <c r="C2496">
        <f t="shared" si="38"/>
        <v>1</v>
      </c>
    </row>
    <row r="2497" spans="1:3" x14ac:dyDescent="0.3">
      <c r="A2497">
        <v>2496</v>
      </c>
      <c r="B2497" s="7">
        <v>11037577.483732365</v>
      </c>
      <c r="C2497">
        <f t="shared" si="38"/>
        <v>1</v>
      </c>
    </row>
    <row r="2498" spans="1:3" x14ac:dyDescent="0.3">
      <c r="A2498">
        <v>2497</v>
      </c>
      <c r="B2498" s="7">
        <v>3111086.7729478716</v>
      </c>
      <c r="C2498">
        <f t="shared" si="38"/>
        <v>1</v>
      </c>
    </row>
    <row r="2499" spans="1:3" x14ac:dyDescent="0.3">
      <c r="A2499">
        <v>2498</v>
      </c>
      <c r="B2499" s="7">
        <v>16018233.770561416</v>
      </c>
      <c r="C2499">
        <f t="shared" ref="C2499:C2562" si="39">IF(B2499=0,0,1)</f>
        <v>1</v>
      </c>
    </row>
    <row r="2500" spans="1:3" x14ac:dyDescent="0.3">
      <c r="A2500">
        <v>2499</v>
      </c>
      <c r="B2500" s="7">
        <v>3786884.4537485093</v>
      </c>
      <c r="C2500">
        <f t="shared" si="39"/>
        <v>1</v>
      </c>
    </row>
    <row r="2501" spans="1:3" x14ac:dyDescent="0.3">
      <c r="A2501">
        <v>2500</v>
      </c>
      <c r="B2501" s="7">
        <v>290492.25432637258</v>
      </c>
      <c r="C2501">
        <f t="shared" si="39"/>
        <v>1</v>
      </c>
    </row>
    <row r="2502" spans="1:3" x14ac:dyDescent="0.3">
      <c r="A2502">
        <v>2501</v>
      </c>
      <c r="B2502" s="7">
        <v>11113744.907957897</v>
      </c>
      <c r="C2502">
        <f t="shared" si="39"/>
        <v>1</v>
      </c>
    </row>
    <row r="2503" spans="1:3" x14ac:dyDescent="0.3">
      <c r="A2503">
        <v>2502</v>
      </c>
      <c r="B2503" s="7">
        <v>3975558.5183859239</v>
      </c>
      <c r="C2503">
        <f t="shared" si="39"/>
        <v>1</v>
      </c>
    </row>
    <row r="2504" spans="1:3" x14ac:dyDescent="0.3">
      <c r="A2504">
        <v>2503</v>
      </c>
      <c r="B2504" s="7">
        <v>8855028.9525730629</v>
      </c>
      <c r="C2504">
        <f t="shared" si="39"/>
        <v>1</v>
      </c>
    </row>
    <row r="2505" spans="1:3" x14ac:dyDescent="0.3">
      <c r="A2505">
        <v>2504</v>
      </c>
      <c r="B2505" s="7">
        <v>8906082.5329224858</v>
      </c>
      <c r="C2505">
        <f t="shared" si="39"/>
        <v>1</v>
      </c>
    </row>
    <row r="2506" spans="1:3" x14ac:dyDescent="0.3">
      <c r="A2506">
        <v>2505</v>
      </c>
      <c r="B2506" s="7">
        <v>1706768.4421132905</v>
      </c>
      <c r="C2506">
        <f t="shared" si="39"/>
        <v>1</v>
      </c>
    </row>
    <row r="2507" spans="1:3" x14ac:dyDescent="0.3">
      <c r="A2507">
        <v>2506</v>
      </c>
      <c r="B2507" s="7">
        <v>4585750.074717964</v>
      </c>
      <c r="C2507">
        <f t="shared" si="39"/>
        <v>1</v>
      </c>
    </row>
    <row r="2508" spans="1:3" x14ac:dyDescent="0.3">
      <c r="A2508">
        <v>2507</v>
      </c>
      <c r="B2508" s="7">
        <v>3269191.3311507343</v>
      </c>
      <c r="C2508">
        <f t="shared" si="39"/>
        <v>1</v>
      </c>
    </row>
    <row r="2509" spans="1:3" x14ac:dyDescent="0.3">
      <c r="A2509">
        <v>2508</v>
      </c>
      <c r="B2509" s="7">
        <v>20330128.528658465</v>
      </c>
      <c r="C2509">
        <f t="shared" si="39"/>
        <v>1</v>
      </c>
    </row>
    <row r="2510" spans="1:3" x14ac:dyDescent="0.3">
      <c r="A2510">
        <v>2509</v>
      </c>
      <c r="B2510" s="7">
        <v>0</v>
      </c>
      <c r="C2510">
        <f t="shared" si="39"/>
        <v>0</v>
      </c>
    </row>
    <row r="2511" spans="1:3" x14ac:dyDescent="0.3">
      <c r="A2511">
        <v>2510</v>
      </c>
      <c r="B2511" s="7">
        <v>5679680.7497769333</v>
      </c>
      <c r="C2511">
        <f t="shared" si="39"/>
        <v>1</v>
      </c>
    </row>
    <row r="2512" spans="1:3" x14ac:dyDescent="0.3">
      <c r="A2512">
        <v>2511</v>
      </c>
      <c r="B2512" s="7">
        <v>2295947.9128944059</v>
      </c>
      <c r="C2512">
        <f t="shared" si="39"/>
        <v>1</v>
      </c>
    </row>
    <row r="2513" spans="1:3" x14ac:dyDescent="0.3">
      <c r="A2513">
        <v>2512</v>
      </c>
      <c r="B2513" s="7">
        <v>3958004.4956887094</v>
      </c>
      <c r="C2513">
        <f t="shared" si="39"/>
        <v>1</v>
      </c>
    </row>
    <row r="2514" spans="1:3" x14ac:dyDescent="0.3">
      <c r="A2514">
        <v>2513</v>
      </c>
      <c r="B2514" s="7">
        <v>27093292.15434197</v>
      </c>
      <c r="C2514">
        <f t="shared" si="39"/>
        <v>1</v>
      </c>
    </row>
    <row r="2515" spans="1:3" x14ac:dyDescent="0.3">
      <c r="A2515">
        <v>2514</v>
      </c>
      <c r="B2515" s="7">
        <v>15854648.010061547</v>
      </c>
      <c r="C2515">
        <f t="shared" si="39"/>
        <v>1</v>
      </c>
    </row>
    <row r="2516" spans="1:3" x14ac:dyDescent="0.3">
      <c r="A2516">
        <v>2515</v>
      </c>
      <c r="B2516" s="7">
        <v>1456854.6444046656</v>
      </c>
      <c r="C2516">
        <f t="shared" si="39"/>
        <v>1</v>
      </c>
    </row>
    <row r="2517" spans="1:3" x14ac:dyDescent="0.3">
      <c r="A2517">
        <v>2516</v>
      </c>
      <c r="B2517" s="7">
        <v>11747737.960103864</v>
      </c>
      <c r="C2517">
        <f t="shared" si="39"/>
        <v>1</v>
      </c>
    </row>
    <row r="2518" spans="1:3" x14ac:dyDescent="0.3">
      <c r="A2518">
        <v>2517</v>
      </c>
      <c r="B2518" s="7">
        <v>4586394.8833562071</v>
      </c>
      <c r="C2518">
        <f t="shared" si="39"/>
        <v>1</v>
      </c>
    </row>
    <row r="2519" spans="1:3" x14ac:dyDescent="0.3">
      <c r="A2519">
        <v>2518</v>
      </c>
      <c r="B2519" s="7">
        <v>6538144.8238616418</v>
      </c>
      <c r="C2519">
        <f t="shared" si="39"/>
        <v>1</v>
      </c>
    </row>
    <row r="2520" spans="1:3" x14ac:dyDescent="0.3">
      <c r="A2520">
        <v>2519</v>
      </c>
      <c r="B2520" s="7">
        <v>371083.30027479847</v>
      </c>
      <c r="C2520">
        <f t="shared" si="39"/>
        <v>1</v>
      </c>
    </row>
    <row r="2521" spans="1:3" x14ac:dyDescent="0.3">
      <c r="A2521">
        <v>2520</v>
      </c>
      <c r="B2521" s="7">
        <v>5043128.6167919664</v>
      </c>
      <c r="C2521">
        <f t="shared" si="39"/>
        <v>1</v>
      </c>
    </row>
    <row r="2522" spans="1:3" x14ac:dyDescent="0.3">
      <c r="A2522">
        <v>2521</v>
      </c>
      <c r="B2522" s="7">
        <v>1300727.3736902641</v>
      </c>
      <c r="C2522">
        <f t="shared" si="39"/>
        <v>1</v>
      </c>
    </row>
    <row r="2523" spans="1:3" x14ac:dyDescent="0.3">
      <c r="A2523">
        <v>2522</v>
      </c>
      <c r="B2523" s="7">
        <v>4824541.5245366786</v>
      </c>
      <c r="C2523">
        <f t="shared" si="39"/>
        <v>1</v>
      </c>
    </row>
    <row r="2524" spans="1:3" x14ac:dyDescent="0.3">
      <c r="A2524">
        <v>2523</v>
      </c>
      <c r="B2524" s="7">
        <v>9838179.5725544542</v>
      </c>
      <c r="C2524">
        <f t="shared" si="39"/>
        <v>1</v>
      </c>
    </row>
    <row r="2525" spans="1:3" x14ac:dyDescent="0.3">
      <c r="A2525">
        <v>2524</v>
      </c>
      <c r="B2525" s="7">
        <v>470771.63743431703</v>
      </c>
      <c r="C2525">
        <f t="shared" si="39"/>
        <v>1</v>
      </c>
    </row>
    <row r="2526" spans="1:3" x14ac:dyDescent="0.3">
      <c r="A2526">
        <v>2525</v>
      </c>
      <c r="B2526" s="7">
        <v>2752294.5520412275</v>
      </c>
      <c r="C2526">
        <f t="shared" si="39"/>
        <v>1</v>
      </c>
    </row>
    <row r="2527" spans="1:3" x14ac:dyDescent="0.3">
      <c r="A2527">
        <v>2526</v>
      </c>
      <c r="B2527" s="7">
        <v>2564244.9398522177</v>
      </c>
      <c r="C2527">
        <f t="shared" si="39"/>
        <v>1</v>
      </c>
    </row>
    <row r="2528" spans="1:3" x14ac:dyDescent="0.3">
      <c r="A2528">
        <v>2527</v>
      </c>
      <c r="B2528" s="7">
        <v>12410144.414089737</v>
      </c>
      <c r="C2528">
        <f t="shared" si="39"/>
        <v>1</v>
      </c>
    </row>
    <row r="2529" spans="1:3" x14ac:dyDescent="0.3">
      <c r="A2529">
        <v>2528</v>
      </c>
      <c r="B2529" s="7">
        <v>3580110.2957785358</v>
      </c>
      <c r="C2529">
        <f t="shared" si="39"/>
        <v>1</v>
      </c>
    </row>
    <row r="2530" spans="1:3" x14ac:dyDescent="0.3">
      <c r="A2530">
        <v>2529</v>
      </c>
      <c r="B2530" s="7">
        <v>9400860.8730767518</v>
      </c>
      <c r="C2530">
        <f t="shared" si="39"/>
        <v>1</v>
      </c>
    </row>
    <row r="2531" spans="1:3" x14ac:dyDescent="0.3">
      <c r="A2531">
        <v>2530</v>
      </c>
      <c r="B2531" s="7">
        <v>3940050.8200419829</v>
      </c>
      <c r="C2531">
        <f t="shared" si="39"/>
        <v>1</v>
      </c>
    </row>
    <row r="2532" spans="1:3" x14ac:dyDescent="0.3">
      <c r="A2532">
        <v>2531</v>
      </c>
      <c r="B2532" s="7">
        <v>6083889.5573213538</v>
      </c>
      <c r="C2532">
        <f t="shared" si="39"/>
        <v>1</v>
      </c>
    </row>
    <row r="2533" spans="1:3" x14ac:dyDescent="0.3">
      <c r="A2533">
        <v>2532</v>
      </c>
      <c r="B2533" s="7">
        <v>18125925.995656621</v>
      </c>
      <c r="C2533">
        <f t="shared" si="39"/>
        <v>1</v>
      </c>
    </row>
    <row r="2534" spans="1:3" x14ac:dyDescent="0.3">
      <c r="A2534">
        <v>2533</v>
      </c>
      <c r="B2534" s="7">
        <v>4535577.9566919524</v>
      </c>
      <c r="C2534">
        <f t="shared" si="39"/>
        <v>1</v>
      </c>
    </row>
    <row r="2535" spans="1:3" x14ac:dyDescent="0.3">
      <c r="A2535">
        <v>2534</v>
      </c>
      <c r="B2535" s="7">
        <v>20469734.694059871</v>
      </c>
      <c r="C2535">
        <f t="shared" si="39"/>
        <v>1</v>
      </c>
    </row>
    <row r="2536" spans="1:3" x14ac:dyDescent="0.3">
      <c r="A2536">
        <v>2535</v>
      </c>
      <c r="B2536" s="7">
        <v>1829133.8404914043</v>
      </c>
      <c r="C2536">
        <f t="shared" si="39"/>
        <v>1</v>
      </c>
    </row>
    <row r="2537" spans="1:3" x14ac:dyDescent="0.3">
      <c r="A2537">
        <v>2536</v>
      </c>
      <c r="B2537" s="7">
        <v>9958124.5478943456</v>
      </c>
      <c r="C2537">
        <f t="shared" si="39"/>
        <v>1</v>
      </c>
    </row>
    <row r="2538" spans="1:3" x14ac:dyDescent="0.3">
      <c r="A2538">
        <v>2537</v>
      </c>
      <c r="B2538" s="7">
        <v>7342563.0547244223</v>
      </c>
      <c r="C2538">
        <f t="shared" si="39"/>
        <v>1</v>
      </c>
    </row>
    <row r="2539" spans="1:3" x14ac:dyDescent="0.3">
      <c r="A2539">
        <v>2538</v>
      </c>
      <c r="B2539" s="7">
        <v>15958101.31363016</v>
      </c>
      <c r="C2539">
        <f t="shared" si="39"/>
        <v>1</v>
      </c>
    </row>
    <row r="2540" spans="1:3" x14ac:dyDescent="0.3">
      <c r="A2540">
        <v>2539</v>
      </c>
      <c r="B2540" s="7">
        <v>2292001.3257817635</v>
      </c>
      <c r="C2540">
        <f t="shared" si="39"/>
        <v>1</v>
      </c>
    </row>
    <row r="2541" spans="1:3" x14ac:dyDescent="0.3">
      <c r="A2541">
        <v>2540</v>
      </c>
      <c r="B2541" s="7">
        <v>10619125.626029177</v>
      </c>
      <c r="C2541">
        <f t="shared" si="39"/>
        <v>1</v>
      </c>
    </row>
    <row r="2542" spans="1:3" x14ac:dyDescent="0.3">
      <c r="A2542">
        <v>2541</v>
      </c>
      <c r="B2542" s="7">
        <v>5075412.2184568886</v>
      </c>
      <c r="C2542">
        <f t="shared" si="39"/>
        <v>1</v>
      </c>
    </row>
    <row r="2543" spans="1:3" x14ac:dyDescent="0.3">
      <c r="A2543">
        <v>2542</v>
      </c>
      <c r="B2543" s="7">
        <v>9677671.4064406641</v>
      </c>
      <c r="C2543">
        <f t="shared" si="39"/>
        <v>1</v>
      </c>
    </row>
    <row r="2544" spans="1:3" x14ac:dyDescent="0.3">
      <c r="A2544">
        <v>2543</v>
      </c>
      <c r="B2544" s="7">
        <v>25093056.665606171</v>
      </c>
      <c r="C2544">
        <f t="shared" si="39"/>
        <v>1</v>
      </c>
    </row>
    <row r="2545" spans="1:3" x14ac:dyDescent="0.3">
      <c r="A2545">
        <v>2544</v>
      </c>
      <c r="B2545" s="7">
        <v>15542425.019411132</v>
      </c>
      <c r="C2545">
        <f t="shared" si="39"/>
        <v>1</v>
      </c>
    </row>
    <row r="2546" spans="1:3" x14ac:dyDescent="0.3">
      <c r="A2546">
        <v>2545</v>
      </c>
      <c r="B2546" s="7">
        <v>6982296.2470904151</v>
      </c>
      <c r="C2546">
        <f t="shared" si="39"/>
        <v>1</v>
      </c>
    </row>
    <row r="2547" spans="1:3" x14ac:dyDescent="0.3">
      <c r="A2547">
        <v>2546</v>
      </c>
      <c r="B2547" s="7">
        <v>10173599.457511019</v>
      </c>
      <c r="C2547">
        <f t="shared" si="39"/>
        <v>1</v>
      </c>
    </row>
    <row r="2548" spans="1:3" x14ac:dyDescent="0.3">
      <c r="A2548">
        <v>2547</v>
      </c>
      <c r="B2548" s="7">
        <v>3147092.2419357216</v>
      </c>
      <c r="C2548">
        <f t="shared" si="39"/>
        <v>1</v>
      </c>
    </row>
    <row r="2549" spans="1:3" x14ac:dyDescent="0.3">
      <c r="A2549">
        <v>2548</v>
      </c>
      <c r="B2549" s="7">
        <v>10776173.351052536</v>
      </c>
      <c r="C2549">
        <f t="shared" si="39"/>
        <v>1</v>
      </c>
    </row>
    <row r="2550" spans="1:3" x14ac:dyDescent="0.3">
      <c r="A2550">
        <v>2549</v>
      </c>
      <c r="B2550" s="7">
        <v>14643493.282279039</v>
      </c>
      <c r="C2550">
        <f t="shared" si="39"/>
        <v>1</v>
      </c>
    </row>
    <row r="2551" spans="1:3" x14ac:dyDescent="0.3">
      <c r="A2551">
        <v>2550</v>
      </c>
      <c r="B2551" s="7">
        <v>4179887.9386060364</v>
      </c>
      <c r="C2551">
        <f t="shared" si="39"/>
        <v>1</v>
      </c>
    </row>
    <row r="2552" spans="1:3" x14ac:dyDescent="0.3">
      <c r="A2552">
        <v>2551</v>
      </c>
      <c r="B2552" s="7">
        <v>4454663.8301934693</v>
      </c>
      <c r="C2552">
        <f t="shared" si="39"/>
        <v>1</v>
      </c>
    </row>
    <row r="2553" spans="1:3" x14ac:dyDescent="0.3">
      <c r="A2553">
        <v>2552</v>
      </c>
      <c r="B2553" s="7">
        <v>1300918.6005736333</v>
      </c>
      <c r="C2553">
        <f t="shared" si="39"/>
        <v>1</v>
      </c>
    </row>
    <row r="2554" spans="1:3" x14ac:dyDescent="0.3">
      <c r="A2554">
        <v>2553</v>
      </c>
      <c r="B2554" s="7">
        <v>0</v>
      </c>
      <c r="C2554">
        <f t="shared" si="39"/>
        <v>0</v>
      </c>
    </row>
    <row r="2555" spans="1:3" x14ac:dyDescent="0.3">
      <c r="A2555">
        <v>2554</v>
      </c>
      <c r="B2555" s="7">
        <v>0</v>
      </c>
      <c r="C2555">
        <f t="shared" si="39"/>
        <v>0</v>
      </c>
    </row>
    <row r="2556" spans="1:3" x14ac:dyDescent="0.3">
      <c r="A2556">
        <v>2555</v>
      </c>
      <c r="B2556" s="7">
        <v>4840374.1619412703</v>
      </c>
      <c r="C2556">
        <f t="shared" si="39"/>
        <v>1</v>
      </c>
    </row>
    <row r="2557" spans="1:3" x14ac:dyDescent="0.3">
      <c r="A2557">
        <v>2556</v>
      </c>
      <c r="B2557" s="7">
        <v>10368949.019039182</v>
      </c>
      <c r="C2557">
        <f t="shared" si="39"/>
        <v>1</v>
      </c>
    </row>
    <row r="2558" spans="1:3" x14ac:dyDescent="0.3">
      <c r="A2558">
        <v>2557</v>
      </c>
      <c r="B2558" s="7">
        <v>12167330.641358564</v>
      </c>
      <c r="C2558">
        <f t="shared" si="39"/>
        <v>1</v>
      </c>
    </row>
    <row r="2559" spans="1:3" x14ac:dyDescent="0.3">
      <c r="A2559">
        <v>2558</v>
      </c>
      <c r="B2559" s="7">
        <v>14612212.727544034</v>
      </c>
      <c r="C2559">
        <f t="shared" si="39"/>
        <v>1</v>
      </c>
    </row>
    <row r="2560" spans="1:3" x14ac:dyDescent="0.3">
      <c r="A2560">
        <v>2559</v>
      </c>
      <c r="B2560" s="7">
        <v>9229662.4079107028</v>
      </c>
      <c r="C2560">
        <f t="shared" si="39"/>
        <v>1</v>
      </c>
    </row>
    <row r="2561" spans="1:3" x14ac:dyDescent="0.3">
      <c r="A2561">
        <v>2560</v>
      </c>
      <c r="B2561" s="7">
        <v>4058989.5159384329</v>
      </c>
      <c r="C2561">
        <f t="shared" si="39"/>
        <v>1</v>
      </c>
    </row>
    <row r="2562" spans="1:3" x14ac:dyDescent="0.3">
      <c r="A2562">
        <v>2561</v>
      </c>
      <c r="B2562" s="7">
        <v>3130389.2208748148</v>
      </c>
      <c r="C2562">
        <f t="shared" si="39"/>
        <v>1</v>
      </c>
    </row>
    <row r="2563" spans="1:3" x14ac:dyDescent="0.3">
      <c r="A2563">
        <v>2562</v>
      </c>
      <c r="B2563" s="7">
        <v>3571404.9456043779</v>
      </c>
      <c r="C2563">
        <f t="shared" ref="C2563:C2626" si="40">IF(B2563=0,0,1)</f>
        <v>1</v>
      </c>
    </row>
    <row r="2564" spans="1:3" x14ac:dyDescent="0.3">
      <c r="A2564">
        <v>2563</v>
      </c>
      <c r="B2564" s="7">
        <v>3596982.5403052657</v>
      </c>
      <c r="C2564">
        <f t="shared" si="40"/>
        <v>1</v>
      </c>
    </row>
    <row r="2565" spans="1:3" x14ac:dyDescent="0.3">
      <c r="A2565">
        <v>2564</v>
      </c>
      <c r="B2565" s="7">
        <v>4033241.1021709456</v>
      </c>
      <c r="C2565">
        <f t="shared" si="40"/>
        <v>1</v>
      </c>
    </row>
    <row r="2566" spans="1:3" x14ac:dyDescent="0.3">
      <c r="A2566">
        <v>2565</v>
      </c>
      <c r="B2566" s="7">
        <v>7270498.8937512208</v>
      </c>
      <c r="C2566">
        <f t="shared" si="40"/>
        <v>1</v>
      </c>
    </row>
    <row r="2567" spans="1:3" x14ac:dyDescent="0.3">
      <c r="A2567">
        <v>2566</v>
      </c>
      <c r="B2567" s="7">
        <v>9762759.825137794</v>
      </c>
      <c r="C2567">
        <f t="shared" si="40"/>
        <v>1</v>
      </c>
    </row>
    <row r="2568" spans="1:3" x14ac:dyDescent="0.3">
      <c r="A2568">
        <v>2567</v>
      </c>
      <c r="B2568" s="7">
        <v>1520373.5747194486</v>
      </c>
      <c r="C2568">
        <f t="shared" si="40"/>
        <v>1</v>
      </c>
    </row>
    <row r="2569" spans="1:3" x14ac:dyDescent="0.3">
      <c r="A2569">
        <v>2568</v>
      </c>
      <c r="B2569" s="7">
        <v>13684742.891513087</v>
      </c>
      <c r="C2569">
        <f t="shared" si="40"/>
        <v>1</v>
      </c>
    </row>
    <row r="2570" spans="1:3" x14ac:dyDescent="0.3">
      <c r="A2570">
        <v>2569</v>
      </c>
      <c r="B2570" s="7">
        <v>2414344.9139731824</v>
      </c>
      <c r="C2570">
        <f t="shared" si="40"/>
        <v>1</v>
      </c>
    </row>
    <row r="2571" spans="1:3" x14ac:dyDescent="0.3">
      <c r="A2571">
        <v>2570</v>
      </c>
      <c r="B2571" s="7">
        <v>5563695.7069420284</v>
      </c>
      <c r="C2571">
        <f t="shared" si="40"/>
        <v>1</v>
      </c>
    </row>
    <row r="2572" spans="1:3" x14ac:dyDescent="0.3">
      <c r="A2572">
        <v>2571</v>
      </c>
      <c r="B2572" s="7">
        <v>10540212.381011454</v>
      </c>
      <c r="C2572">
        <f t="shared" si="40"/>
        <v>1</v>
      </c>
    </row>
    <row r="2573" spans="1:3" x14ac:dyDescent="0.3">
      <c r="A2573">
        <v>2572</v>
      </c>
      <c r="B2573" s="7">
        <v>3205616.1549292603</v>
      </c>
      <c r="C2573">
        <f t="shared" si="40"/>
        <v>1</v>
      </c>
    </row>
    <row r="2574" spans="1:3" x14ac:dyDescent="0.3">
      <c r="A2574">
        <v>2573</v>
      </c>
      <c r="B2574" s="7">
        <v>20486219.2312821</v>
      </c>
      <c r="C2574">
        <f t="shared" si="40"/>
        <v>1</v>
      </c>
    </row>
    <row r="2575" spans="1:3" x14ac:dyDescent="0.3">
      <c r="A2575">
        <v>2574</v>
      </c>
      <c r="B2575" s="7">
        <v>6378802.6692908676</v>
      </c>
      <c r="C2575">
        <f t="shared" si="40"/>
        <v>1</v>
      </c>
    </row>
    <row r="2576" spans="1:3" x14ac:dyDescent="0.3">
      <c r="A2576">
        <v>2575</v>
      </c>
      <c r="B2576" s="7">
        <v>6207891.8140310328</v>
      </c>
      <c r="C2576">
        <f t="shared" si="40"/>
        <v>1</v>
      </c>
    </row>
    <row r="2577" spans="1:3" x14ac:dyDescent="0.3">
      <c r="A2577">
        <v>2576</v>
      </c>
      <c r="B2577" s="7">
        <v>8619032.6803129725</v>
      </c>
      <c r="C2577">
        <f t="shared" si="40"/>
        <v>1</v>
      </c>
    </row>
    <row r="2578" spans="1:3" x14ac:dyDescent="0.3">
      <c r="A2578">
        <v>2577</v>
      </c>
      <c r="B2578" s="7">
        <v>1307829.912296023</v>
      </c>
      <c r="C2578">
        <f t="shared" si="40"/>
        <v>1</v>
      </c>
    </row>
    <row r="2579" spans="1:3" x14ac:dyDescent="0.3">
      <c r="A2579">
        <v>2578</v>
      </c>
      <c r="B2579" s="7">
        <v>5173805.7158472901</v>
      </c>
      <c r="C2579">
        <f t="shared" si="40"/>
        <v>1</v>
      </c>
    </row>
    <row r="2580" spans="1:3" x14ac:dyDescent="0.3">
      <c r="A2580">
        <v>2579</v>
      </c>
      <c r="B2580" s="7">
        <v>4532103.4017478088</v>
      </c>
      <c r="C2580">
        <f t="shared" si="40"/>
        <v>1</v>
      </c>
    </row>
    <row r="2581" spans="1:3" x14ac:dyDescent="0.3">
      <c r="A2581">
        <v>2580</v>
      </c>
      <c r="B2581" s="7">
        <v>3724782.3111277004</v>
      </c>
      <c r="C2581">
        <f t="shared" si="40"/>
        <v>1</v>
      </c>
    </row>
    <row r="2582" spans="1:3" x14ac:dyDescent="0.3">
      <c r="A2582">
        <v>2581</v>
      </c>
      <c r="B2582" s="7">
        <v>468864.92698493134</v>
      </c>
      <c r="C2582">
        <f t="shared" si="40"/>
        <v>1</v>
      </c>
    </row>
    <row r="2583" spans="1:3" x14ac:dyDescent="0.3">
      <c r="A2583">
        <v>2582</v>
      </c>
      <c r="B2583" s="7">
        <v>9277250.2338233702</v>
      </c>
      <c r="C2583">
        <f t="shared" si="40"/>
        <v>1</v>
      </c>
    </row>
    <row r="2584" spans="1:3" x14ac:dyDescent="0.3">
      <c r="A2584">
        <v>2583</v>
      </c>
      <c r="B2584" s="7">
        <v>1655985.5863093277</v>
      </c>
      <c r="C2584">
        <f t="shared" si="40"/>
        <v>1</v>
      </c>
    </row>
    <row r="2585" spans="1:3" x14ac:dyDescent="0.3">
      <c r="A2585">
        <v>2584</v>
      </c>
      <c r="B2585" s="7">
        <v>5124312.2784010079</v>
      </c>
      <c r="C2585">
        <f t="shared" si="40"/>
        <v>1</v>
      </c>
    </row>
    <row r="2586" spans="1:3" x14ac:dyDescent="0.3">
      <c r="A2586">
        <v>2585</v>
      </c>
      <c r="B2586" s="7">
        <v>4930662.7276083538</v>
      </c>
      <c r="C2586">
        <f t="shared" si="40"/>
        <v>1</v>
      </c>
    </row>
    <row r="2587" spans="1:3" x14ac:dyDescent="0.3">
      <c r="A2587">
        <v>2586</v>
      </c>
      <c r="B2587" s="7">
        <v>3570039.9350887663</v>
      </c>
      <c r="C2587">
        <f t="shared" si="40"/>
        <v>1</v>
      </c>
    </row>
    <row r="2588" spans="1:3" x14ac:dyDescent="0.3">
      <c r="A2588">
        <v>2587</v>
      </c>
      <c r="B2588" s="7">
        <v>538070.45187194098</v>
      </c>
      <c r="C2588">
        <f t="shared" si="40"/>
        <v>1</v>
      </c>
    </row>
    <row r="2589" spans="1:3" x14ac:dyDescent="0.3">
      <c r="A2589">
        <v>2588</v>
      </c>
      <c r="B2589" s="7">
        <v>93930.794026541334</v>
      </c>
      <c r="C2589">
        <f t="shared" si="40"/>
        <v>1</v>
      </c>
    </row>
    <row r="2590" spans="1:3" x14ac:dyDescent="0.3">
      <c r="A2590">
        <v>2589</v>
      </c>
      <c r="B2590" s="7">
        <v>3681558.2922644075</v>
      </c>
      <c r="C2590">
        <f t="shared" si="40"/>
        <v>1</v>
      </c>
    </row>
    <row r="2591" spans="1:3" x14ac:dyDescent="0.3">
      <c r="A2591">
        <v>2590</v>
      </c>
      <c r="B2591" s="7">
        <v>3741494.4842360215</v>
      </c>
      <c r="C2591">
        <f t="shared" si="40"/>
        <v>1</v>
      </c>
    </row>
    <row r="2592" spans="1:3" x14ac:dyDescent="0.3">
      <c r="A2592">
        <v>2591</v>
      </c>
      <c r="B2592" s="7">
        <v>5817321.6020906297</v>
      </c>
      <c r="C2592">
        <f t="shared" si="40"/>
        <v>1</v>
      </c>
    </row>
    <row r="2593" spans="1:3" x14ac:dyDescent="0.3">
      <c r="A2593">
        <v>2592</v>
      </c>
      <c r="B2593" s="7">
        <v>7419637.1802901197</v>
      </c>
      <c r="C2593">
        <f t="shared" si="40"/>
        <v>1</v>
      </c>
    </row>
    <row r="2594" spans="1:3" x14ac:dyDescent="0.3">
      <c r="A2594">
        <v>2593</v>
      </c>
      <c r="B2594" s="7">
        <v>4060200.2859056778</v>
      </c>
      <c r="C2594">
        <f t="shared" si="40"/>
        <v>1</v>
      </c>
    </row>
    <row r="2595" spans="1:3" x14ac:dyDescent="0.3">
      <c r="A2595">
        <v>2594</v>
      </c>
      <c r="B2595" s="7">
        <v>4823418.7557739662</v>
      </c>
      <c r="C2595">
        <f t="shared" si="40"/>
        <v>1</v>
      </c>
    </row>
    <row r="2596" spans="1:3" x14ac:dyDescent="0.3">
      <c r="A2596">
        <v>2595</v>
      </c>
      <c r="B2596" s="7">
        <v>1757653.955716043</v>
      </c>
      <c r="C2596">
        <f t="shared" si="40"/>
        <v>1</v>
      </c>
    </row>
    <row r="2597" spans="1:3" x14ac:dyDescent="0.3">
      <c r="A2597">
        <v>2596</v>
      </c>
      <c r="B2597" s="7">
        <v>6123195.535158908</v>
      </c>
      <c r="C2597">
        <f t="shared" si="40"/>
        <v>1</v>
      </c>
    </row>
    <row r="2598" spans="1:3" x14ac:dyDescent="0.3">
      <c r="A2598">
        <v>2597</v>
      </c>
      <c r="B2598" s="7">
        <v>14180326.632328227</v>
      </c>
      <c r="C2598">
        <f t="shared" si="40"/>
        <v>1</v>
      </c>
    </row>
    <row r="2599" spans="1:3" x14ac:dyDescent="0.3">
      <c r="A2599">
        <v>2598</v>
      </c>
      <c r="B2599" s="7">
        <v>5000666.9290886922</v>
      </c>
      <c r="C2599">
        <f t="shared" si="40"/>
        <v>1</v>
      </c>
    </row>
    <row r="2600" spans="1:3" x14ac:dyDescent="0.3">
      <c r="A2600">
        <v>2599</v>
      </c>
      <c r="B2600" s="7">
        <v>3484463.3161384095</v>
      </c>
      <c r="C2600">
        <f t="shared" si="40"/>
        <v>1</v>
      </c>
    </row>
    <row r="2601" spans="1:3" x14ac:dyDescent="0.3">
      <c r="A2601">
        <v>2600</v>
      </c>
      <c r="B2601" s="7">
        <v>4996921.4349682396</v>
      </c>
      <c r="C2601">
        <f t="shared" si="40"/>
        <v>1</v>
      </c>
    </row>
    <row r="2602" spans="1:3" x14ac:dyDescent="0.3">
      <c r="A2602">
        <v>2601</v>
      </c>
      <c r="B2602" s="7">
        <v>4216194.7426905958</v>
      </c>
      <c r="C2602">
        <f t="shared" si="40"/>
        <v>1</v>
      </c>
    </row>
    <row r="2603" spans="1:3" x14ac:dyDescent="0.3">
      <c r="A2603">
        <v>2602</v>
      </c>
      <c r="B2603" s="7">
        <v>4211238.0619069729</v>
      </c>
      <c r="C2603">
        <f t="shared" si="40"/>
        <v>1</v>
      </c>
    </row>
    <row r="2604" spans="1:3" x14ac:dyDescent="0.3">
      <c r="A2604">
        <v>2603</v>
      </c>
      <c r="B2604" s="7">
        <v>6863034.3622427685</v>
      </c>
      <c r="C2604">
        <f t="shared" si="40"/>
        <v>1</v>
      </c>
    </row>
    <row r="2605" spans="1:3" x14ac:dyDescent="0.3">
      <c r="A2605">
        <v>2604</v>
      </c>
      <c r="B2605" s="7">
        <v>878054.83914164884</v>
      </c>
      <c r="C2605">
        <f t="shared" si="40"/>
        <v>1</v>
      </c>
    </row>
    <row r="2606" spans="1:3" x14ac:dyDescent="0.3">
      <c r="A2606">
        <v>2605</v>
      </c>
      <c r="B2606" s="7">
        <v>6642305.9676351268</v>
      </c>
      <c r="C2606">
        <f t="shared" si="40"/>
        <v>1</v>
      </c>
    </row>
    <row r="2607" spans="1:3" x14ac:dyDescent="0.3">
      <c r="A2607">
        <v>2606</v>
      </c>
      <c r="B2607" s="7">
        <v>3090596.9867963325</v>
      </c>
      <c r="C2607">
        <f t="shared" si="40"/>
        <v>1</v>
      </c>
    </row>
    <row r="2608" spans="1:3" x14ac:dyDescent="0.3">
      <c r="A2608">
        <v>2607</v>
      </c>
      <c r="B2608" s="7">
        <v>9078390.6810424738</v>
      </c>
      <c r="C2608">
        <f t="shared" si="40"/>
        <v>1</v>
      </c>
    </row>
    <row r="2609" spans="1:3" x14ac:dyDescent="0.3">
      <c r="A2609">
        <v>2608</v>
      </c>
      <c r="B2609" s="7">
        <v>4884110.3050437905</v>
      </c>
      <c r="C2609">
        <f t="shared" si="40"/>
        <v>1</v>
      </c>
    </row>
    <row r="2610" spans="1:3" x14ac:dyDescent="0.3">
      <c r="A2610">
        <v>2609</v>
      </c>
      <c r="B2610" s="7">
        <v>7141888.9862081697</v>
      </c>
      <c r="C2610">
        <f t="shared" si="40"/>
        <v>1</v>
      </c>
    </row>
    <row r="2611" spans="1:3" x14ac:dyDescent="0.3">
      <c r="A2611">
        <v>2610</v>
      </c>
      <c r="B2611" s="7">
        <v>4729104.5949342474</v>
      </c>
      <c r="C2611">
        <f t="shared" si="40"/>
        <v>1</v>
      </c>
    </row>
    <row r="2612" spans="1:3" x14ac:dyDescent="0.3">
      <c r="A2612">
        <v>2611</v>
      </c>
      <c r="B2612" s="7">
        <v>3875372.1224687295</v>
      </c>
      <c r="C2612">
        <f t="shared" si="40"/>
        <v>1</v>
      </c>
    </row>
    <row r="2613" spans="1:3" x14ac:dyDescent="0.3">
      <c r="A2613">
        <v>2612</v>
      </c>
      <c r="B2613" s="7">
        <v>8407396.3390466645</v>
      </c>
      <c r="C2613">
        <f t="shared" si="40"/>
        <v>1</v>
      </c>
    </row>
    <row r="2614" spans="1:3" x14ac:dyDescent="0.3">
      <c r="A2614">
        <v>2613</v>
      </c>
      <c r="B2614" s="7">
        <v>8166383.2656021807</v>
      </c>
      <c r="C2614">
        <f t="shared" si="40"/>
        <v>1</v>
      </c>
    </row>
    <row r="2615" spans="1:3" x14ac:dyDescent="0.3">
      <c r="A2615">
        <v>2614</v>
      </c>
      <c r="B2615" s="7">
        <v>1583964.5298155001</v>
      </c>
      <c r="C2615">
        <f t="shared" si="40"/>
        <v>1</v>
      </c>
    </row>
    <row r="2616" spans="1:3" x14ac:dyDescent="0.3">
      <c r="A2616">
        <v>2615</v>
      </c>
      <c r="B2616" s="7">
        <v>678169.5446319863</v>
      </c>
      <c r="C2616">
        <f t="shared" si="40"/>
        <v>1</v>
      </c>
    </row>
    <row r="2617" spans="1:3" x14ac:dyDescent="0.3">
      <c r="A2617">
        <v>2616</v>
      </c>
      <c r="B2617" s="7">
        <v>11820587.467969457</v>
      </c>
      <c r="C2617">
        <f t="shared" si="40"/>
        <v>1</v>
      </c>
    </row>
    <row r="2618" spans="1:3" x14ac:dyDescent="0.3">
      <c r="A2618">
        <v>2617</v>
      </c>
      <c r="B2618" s="7">
        <v>0</v>
      </c>
      <c r="C2618">
        <f t="shared" si="40"/>
        <v>0</v>
      </c>
    </row>
    <row r="2619" spans="1:3" x14ac:dyDescent="0.3">
      <c r="A2619">
        <v>2618</v>
      </c>
      <c r="B2619" s="7">
        <v>27645525.900619917</v>
      </c>
      <c r="C2619">
        <f t="shared" si="40"/>
        <v>1</v>
      </c>
    </row>
    <row r="2620" spans="1:3" x14ac:dyDescent="0.3">
      <c r="A2620">
        <v>2619</v>
      </c>
      <c r="B2620" s="7">
        <v>5893241.612051771</v>
      </c>
      <c r="C2620">
        <f t="shared" si="40"/>
        <v>1</v>
      </c>
    </row>
    <row r="2621" spans="1:3" x14ac:dyDescent="0.3">
      <c r="A2621">
        <v>2620</v>
      </c>
      <c r="B2621" s="7">
        <v>14881301.555665864</v>
      </c>
      <c r="C2621">
        <f t="shared" si="40"/>
        <v>1</v>
      </c>
    </row>
    <row r="2622" spans="1:3" x14ac:dyDescent="0.3">
      <c r="A2622">
        <v>2621</v>
      </c>
      <c r="B2622" s="7">
        <v>5163531.9253410967</v>
      </c>
      <c r="C2622">
        <f t="shared" si="40"/>
        <v>1</v>
      </c>
    </row>
    <row r="2623" spans="1:3" x14ac:dyDescent="0.3">
      <c r="A2623">
        <v>2622</v>
      </c>
      <c r="B2623" s="7">
        <v>2064228.092805041</v>
      </c>
      <c r="C2623">
        <f t="shared" si="40"/>
        <v>1</v>
      </c>
    </row>
    <row r="2624" spans="1:3" x14ac:dyDescent="0.3">
      <c r="A2624">
        <v>2623</v>
      </c>
      <c r="B2624" s="7">
        <v>3353555.5310523198</v>
      </c>
      <c r="C2624">
        <f t="shared" si="40"/>
        <v>1</v>
      </c>
    </row>
    <row r="2625" spans="1:3" x14ac:dyDescent="0.3">
      <c r="A2625">
        <v>2624</v>
      </c>
      <c r="B2625" s="7">
        <v>10889526.867462764</v>
      </c>
      <c r="C2625">
        <f t="shared" si="40"/>
        <v>1</v>
      </c>
    </row>
    <row r="2626" spans="1:3" x14ac:dyDescent="0.3">
      <c r="A2626">
        <v>2625</v>
      </c>
      <c r="B2626" s="7">
        <v>6839975.6004997315</v>
      </c>
      <c r="C2626">
        <f t="shared" si="40"/>
        <v>1</v>
      </c>
    </row>
    <row r="2627" spans="1:3" x14ac:dyDescent="0.3">
      <c r="A2627">
        <v>2626</v>
      </c>
      <c r="B2627" s="7">
        <v>2354704.4648751011</v>
      </c>
      <c r="C2627">
        <f t="shared" ref="C2627:C2690" si="41">IF(B2627=0,0,1)</f>
        <v>1</v>
      </c>
    </row>
    <row r="2628" spans="1:3" x14ac:dyDescent="0.3">
      <c r="A2628">
        <v>2627</v>
      </c>
      <c r="B2628" s="7">
        <v>3970467.6173381372</v>
      </c>
      <c r="C2628">
        <f t="shared" si="41"/>
        <v>1</v>
      </c>
    </row>
    <row r="2629" spans="1:3" x14ac:dyDescent="0.3">
      <c r="A2629">
        <v>2628</v>
      </c>
      <c r="B2629" s="7">
        <v>10183579.593319125</v>
      </c>
      <c r="C2629">
        <f t="shared" si="41"/>
        <v>1</v>
      </c>
    </row>
    <row r="2630" spans="1:3" x14ac:dyDescent="0.3">
      <c r="A2630">
        <v>2629</v>
      </c>
      <c r="B2630" s="7">
        <v>14534581.627766289</v>
      </c>
      <c r="C2630">
        <f t="shared" si="41"/>
        <v>1</v>
      </c>
    </row>
    <row r="2631" spans="1:3" x14ac:dyDescent="0.3">
      <c r="A2631">
        <v>2630</v>
      </c>
      <c r="B2631" s="7">
        <v>6821859.0602102941</v>
      </c>
      <c r="C2631">
        <f t="shared" si="41"/>
        <v>1</v>
      </c>
    </row>
    <row r="2632" spans="1:3" x14ac:dyDescent="0.3">
      <c r="A2632">
        <v>2631</v>
      </c>
      <c r="B2632" s="7">
        <v>6528278.2994011519</v>
      </c>
      <c r="C2632">
        <f t="shared" si="41"/>
        <v>1</v>
      </c>
    </row>
    <row r="2633" spans="1:3" x14ac:dyDescent="0.3">
      <c r="A2633">
        <v>2632</v>
      </c>
      <c r="B2633" s="7">
        <v>5274893.926065675</v>
      </c>
      <c r="C2633">
        <f t="shared" si="41"/>
        <v>1</v>
      </c>
    </row>
    <row r="2634" spans="1:3" x14ac:dyDescent="0.3">
      <c r="A2634">
        <v>2633</v>
      </c>
      <c r="B2634" s="7">
        <v>5342895.8268719669</v>
      </c>
      <c r="C2634">
        <f t="shared" si="41"/>
        <v>1</v>
      </c>
    </row>
    <row r="2635" spans="1:3" x14ac:dyDescent="0.3">
      <c r="A2635">
        <v>2634</v>
      </c>
      <c r="B2635" s="7">
        <v>5267688.4083583588</v>
      </c>
      <c r="C2635">
        <f t="shared" si="41"/>
        <v>1</v>
      </c>
    </row>
    <row r="2636" spans="1:3" x14ac:dyDescent="0.3">
      <c r="A2636">
        <v>2635</v>
      </c>
      <c r="B2636" s="7">
        <v>9901571.4850404728</v>
      </c>
      <c r="C2636">
        <f t="shared" si="41"/>
        <v>1</v>
      </c>
    </row>
    <row r="2637" spans="1:3" x14ac:dyDescent="0.3">
      <c r="A2637">
        <v>2636</v>
      </c>
      <c r="B2637" s="7">
        <v>2244836.5919052786</v>
      </c>
      <c r="C2637">
        <f t="shared" si="41"/>
        <v>1</v>
      </c>
    </row>
    <row r="2638" spans="1:3" x14ac:dyDescent="0.3">
      <c r="A2638">
        <v>2637</v>
      </c>
      <c r="B2638" s="7">
        <v>615751.6414631923</v>
      </c>
      <c r="C2638">
        <f t="shared" si="41"/>
        <v>1</v>
      </c>
    </row>
    <row r="2639" spans="1:3" x14ac:dyDescent="0.3">
      <c r="A2639">
        <v>2638</v>
      </c>
      <c r="B2639" s="7">
        <v>9680167.9008210674</v>
      </c>
      <c r="C2639">
        <f t="shared" si="41"/>
        <v>1</v>
      </c>
    </row>
    <row r="2640" spans="1:3" x14ac:dyDescent="0.3">
      <c r="A2640">
        <v>2639</v>
      </c>
      <c r="B2640" s="7">
        <v>5835395.5564954039</v>
      </c>
      <c r="C2640">
        <f t="shared" si="41"/>
        <v>1</v>
      </c>
    </row>
    <row r="2641" spans="1:3" x14ac:dyDescent="0.3">
      <c r="A2641">
        <v>2640</v>
      </c>
      <c r="B2641" s="7">
        <v>2189727.4316386655</v>
      </c>
      <c r="C2641">
        <f t="shared" si="41"/>
        <v>1</v>
      </c>
    </row>
    <row r="2642" spans="1:3" x14ac:dyDescent="0.3">
      <c r="A2642">
        <v>2641</v>
      </c>
      <c r="B2642" s="7">
        <v>2559900.9377260287</v>
      </c>
      <c r="C2642">
        <f t="shared" si="41"/>
        <v>1</v>
      </c>
    </row>
    <row r="2643" spans="1:3" x14ac:dyDescent="0.3">
      <c r="A2643">
        <v>2642</v>
      </c>
      <c r="B2643" s="7">
        <v>13035361.088430664</v>
      </c>
      <c r="C2643">
        <f t="shared" si="41"/>
        <v>1</v>
      </c>
    </row>
    <row r="2644" spans="1:3" x14ac:dyDescent="0.3">
      <c r="A2644">
        <v>2643</v>
      </c>
      <c r="B2644" s="7">
        <v>2156060.0476788427</v>
      </c>
      <c r="C2644">
        <f t="shared" si="41"/>
        <v>1</v>
      </c>
    </row>
    <row r="2645" spans="1:3" x14ac:dyDescent="0.3">
      <c r="A2645">
        <v>2644</v>
      </c>
      <c r="B2645" s="7">
        <v>455937.36867487588</v>
      </c>
      <c r="C2645">
        <f t="shared" si="41"/>
        <v>1</v>
      </c>
    </row>
    <row r="2646" spans="1:3" x14ac:dyDescent="0.3">
      <c r="A2646">
        <v>2645</v>
      </c>
      <c r="B2646" s="7">
        <v>10637646.580147387</v>
      </c>
      <c r="C2646">
        <f t="shared" si="41"/>
        <v>1</v>
      </c>
    </row>
    <row r="2647" spans="1:3" x14ac:dyDescent="0.3">
      <c r="A2647">
        <v>2646</v>
      </c>
      <c r="B2647" s="7">
        <v>8460498.6122673173</v>
      </c>
      <c r="C2647">
        <f t="shared" si="41"/>
        <v>1</v>
      </c>
    </row>
    <row r="2648" spans="1:3" x14ac:dyDescent="0.3">
      <c r="A2648">
        <v>2647</v>
      </c>
      <c r="B2648" s="7">
        <v>7945868.8547150912</v>
      </c>
      <c r="C2648">
        <f t="shared" si="41"/>
        <v>1</v>
      </c>
    </row>
    <row r="2649" spans="1:3" x14ac:dyDescent="0.3">
      <c r="A2649">
        <v>2648</v>
      </c>
      <c r="B2649" s="7">
        <v>8592464.9043261856</v>
      </c>
      <c r="C2649">
        <f t="shared" si="41"/>
        <v>1</v>
      </c>
    </row>
    <row r="2650" spans="1:3" x14ac:dyDescent="0.3">
      <c r="A2650">
        <v>2649</v>
      </c>
      <c r="B2650" s="7">
        <v>3287637.3209825302</v>
      </c>
      <c r="C2650">
        <f t="shared" si="41"/>
        <v>1</v>
      </c>
    </row>
    <row r="2651" spans="1:3" x14ac:dyDescent="0.3">
      <c r="A2651">
        <v>2650</v>
      </c>
      <c r="B2651" s="7">
        <v>5306673.6522973953</v>
      </c>
      <c r="C2651">
        <f t="shared" si="41"/>
        <v>1</v>
      </c>
    </row>
    <row r="2652" spans="1:3" x14ac:dyDescent="0.3">
      <c r="A2652">
        <v>2651</v>
      </c>
      <c r="B2652" s="7">
        <v>8226014.2518067677</v>
      </c>
      <c r="C2652">
        <f t="shared" si="41"/>
        <v>1</v>
      </c>
    </row>
    <row r="2653" spans="1:3" x14ac:dyDescent="0.3">
      <c r="A2653">
        <v>2652</v>
      </c>
      <c r="B2653" s="7">
        <v>16404862.112613831</v>
      </c>
      <c r="C2653">
        <f t="shared" si="41"/>
        <v>1</v>
      </c>
    </row>
    <row r="2654" spans="1:3" x14ac:dyDescent="0.3">
      <c r="A2654">
        <v>2653</v>
      </c>
      <c r="B2654" s="7">
        <v>8619774.4082904048</v>
      </c>
      <c r="C2654">
        <f t="shared" si="41"/>
        <v>1</v>
      </c>
    </row>
    <row r="2655" spans="1:3" x14ac:dyDescent="0.3">
      <c r="A2655">
        <v>2654</v>
      </c>
      <c r="B2655" s="7">
        <v>5396731.8447878351</v>
      </c>
      <c r="C2655">
        <f t="shared" si="41"/>
        <v>1</v>
      </c>
    </row>
    <row r="2656" spans="1:3" x14ac:dyDescent="0.3">
      <c r="A2656">
        <v>2655</v>
      </c>
      <c r="B2656" s="7">
        <v>5592611.7024794286</v>
      </c>
      <c r="C2656">
        <f t="shared" si="41"/>
        <v>1</v>
      </c>
    </row>
    <row r="2657" spans="1:3" x14ac:dyDescent="0.3">
      <c r="A2657">
        <v>2656</v>
      </c>
      <c r="B2657" s="7">
        <v>1229360.4836189433</v>
      </c>
      <c r="C2657">
        <f t="shared" si="41"/>
        <v>1</v>
      </c>
    </row>
    <row r="2658" spans="1:3" x14ac:dyDescent="0.3">
      <c r="A2658">
        <v>2657</v>
      </c>
      <c r="B2658" s="7">
        <v>6036398.6439516414</v>
      </c>
      <c r="C2658">
        <f t="shared" si="41"/>
        <v>1</v>
      </c>
    </row>
    <row r="2659" spans="1:3" x14ac:dyDescent="0.3">
      <c r="A2659">
        <v>2658</v>
      </c>
      <c r="B2659" s="7">
        <v>16663117.180324532</v>
      </c>
      <c r="C2659">
        <f t="shared" si="41"/>
        <v>1</v>
      </c>
    </row>
    <row r="2660" spans="1:3" x14ac:dyDescent="0.3">
      <c r="A2660">
        <v>2659</v>
      </c>
      <c r="B2660" s="7">
        <v>8964367.7658614386</v>
      </c>
      <c r="C2660">
        <f t="shared" si="41"/>
        <v>1</v>
      </c>
    </row>
    <row r="2661" spans="1:3" x14ac:dyDescent="0.3">
      <c r="A2661">
        <v>2660</v>
      </c>
      <c r="B2661" s="7">
        <v>3664934.3177765156</v>
      </c>
      <c r="C2661">
        <f t="shared" si="41"/>
        <v>1</v>
      </c>
    </row>
    <row r="2662" spans="1:3" x14ac:dyDescent="0.3">
      <c r="A2662">
        <v>2661</v>
      </c>
      <c r="B2662" s="7">
        <v>828908.28794369311</v>
      </c>
      <c r="C2662">
        <f t="shared" si="41"/>
        <v>1</v>
      </c>
    </row>
    <row r="2663" spans="1:3" x14ac:dyDescent="0.3">
      <c r="A2663">
        <v>2662</v>
      </c>
      <c r="B2663" s="7">
        <v>2732551.0837482414</v>
      </c>
      <c r="C2663">
        <f t="shared" si="41"/>
        <v>1</v>
      </c>
    </row>
    <row r="2664" spans="1:3" x14ac:dyDescent="0.3">
      <c r="A2664">
        <v>2663</v>
      </c>
      <c r="B2664" s="7">
        <v>1918106.1556830416</v>
      </c>
      <c r="C2664">
        <f t="shared" si="41"/>
        <v>1</v>
      </c>
    </row>
    <row r="2665" spans="1:3" x14ac:dyDescent="0.3">
      <c r="A2665">
        <v>2664</v>
      </c>
      <c r="B2665" s="7">
        <v>154253.42010047592</v>
      </c>
      <c r="C2665">
        <f t="shared" si="41"/>
        <v>1</v>
      </c>
    </row>
    <row r="2666" spans="1:3" x14ac:dyDescent="0.3">
      <c r="A2666">
        <v>2665</v>
      </c>
      <c r="B2666" s="7">
        <v>4545460.5482591856</v>
      </c>
      <c r="C2666">
        <f t="shared" si="41"/>
        <v>1</v>
      </c>
    </row>
    <row r="2667" spans="1:3" x14ac:dyDescent="0.3">
      <c r="A2667">
        <v>2666</v>
      </c>
      <c r="B2667" s="7">
        <v>3185347.3099333583</v>
      </c>
      <c r="C2667">
        <f t="shared" si="41"/>
        <v>1</v>
      </c>
    </row>
    <row r="2668" spans="1:3" x14ac:dyDescent="0.3">
      <c r="A2668">
        <v>2667</v>
      </c>
      <c r="B2668" s="7">
        <v>4910606.0926996944</v>
      </c>
      <c r="C2668">
        <f t="shared" si="41"/>
        <v>1</v>
      </c>
    </row>
    <row r="2669" spans="1:3" x14ac:dyDescent="0.3">
      <c r="A2669">
        <v>2668</v>
      </c>
      <c r="B2669" s="7">
        <v>16354971.894726345</v>
      </c>
      <c r="C2669">
        <f t="shared" si="41"/>
        <v>1</v>
      </c>
    </row>
    <row r="2670" spans="1:3" x14ac:dyDescent="0.3">
      <c r="A2670">
        <v>2669</v>
      </c>
      <c r="B2670" s="7">
        <v>16596273.019648025</v>
      </c>
      <c r="C2670">
        <f t="shared" si="41"/>
        <v>1</v>
      </c>
    </row>
    <row r="2671" spans="1:3" x14ac:dyDescent="0.3">
      <c r="A2671">
        <v>2670</v>
      </c>
      <c r="B2671" s="7">
        <v>1919122.185911617</v>
      </c>
      <c r="C2671">
        <f t="shared" si="41"/>
        <v>1</v>
      </c>
    </row>
    <row r="2672" spans="1:3" x14ac:dyDescent="0.3">
      <c r="A2672">
        <v>2671</v>
      </c>
      <c r="B2672" s="7">
        <v>8013644.1651630905</v>
      </c>
      <c r="C2672">
        <f t="shared" si="41"/>
        <v>1</v>
      </c>
    </row>
    <row r="2673" spans="1:3" x14ac:dyDescent="0.3">
      <c r="A2673">
        <v>2672</v>
      </c>
      <c r="B2673" s="7">
        <v>16101580.977554878</v>
      </c>
      <c r="C2673">
        <f t="shared" si="41"/>
        <v>1</v>
      </c>
    </row>
    <row r="2674" spans="1:3" x14ac:dyDescent="0.3">
      <c r="A2674">
        <v>2673</v>
      </c>
      <c r="B2674" s="7">
        <v>3176345.5157540534</v>
      </c>
      <c r="C2674">
        <f t="shared" si="41"/>
        <v>1</v>
      </c>
    </row>
    <row r="2675" spans="1:3" x14ac:dyDescent="0.3">
      <c r="A2675">
        <v>2674</v>
      </c>
      <c r="B2675" s="7">
        <v>7342915.9065085566</v>
      </c>
      <c r="C2675">
        <f t="shared" si="41"/>
        <v>1</v>
      </c>
    </row>
    <row r="2676" spans="1:3" x14ac:dyDescent="0.3">
      <c r="A2676">
        <v>2675</v>
      </c>
      <c r="B2676" s="7">
        <v>6608715.9607100384</v>
      </c>
      <c r="C2676">
        <f t="shared" si="41"/>
        <v>1</v>
      </c>
    </row>
    <row r="2677" spans="1:3" x14ac:dyDescent="0.3">
      <c r="A2677">
        <v>2676</v>
      </c>
      <c r="B2677" s="7">
        <v>8201075.0240653614</v>
      </c>
      <c r="C2677">
        <f t="shared" si="41"/>
        <v>1</v>
      </c>
    </row>
    <row r="2678" spans="1:3" x14ac:dyDescent="0.3">
      <c r="A2678">
        <v>2677</v>
      </c>
      <c r="B2678" s="7">
        <v>14001068.958258998</v>
      </c>
      <c r="C2678">
        <f t="shared" si="41"/>
        <v>1</v>
      </c>
    </row>
    <row r="2679" spans="1:3" x14ac:dyDescent="0.3">
      <c r="A2679">
        <v>2678</v>
      </c>
      <c r="B2679" s="7">
        <v>3465881.1487843497</v>
      </c>
      <c r="C2679">
        <f t="shared" si="41"/>
        <v>1</v>
      </c>
    </row>
    <row r="2680" spans="1:3" x14ac:dyDescent="0.3">
      <c r="A2680">
        <v>2679</v>
      </c>
      <c r="B2680" s="7">
        <v>3530687.0156639079</v>
      </c>
      <c r="C2680">
        <f t="shared" si="41"/>
        <v>1</v>
      </c>
    </row>
    <row r="2681" spans="1:3" x14ac:dyDescent="0.3">
      <c r="A2681">
        <v>2680</v>
      </c>
      <c r="B2681" s="7">
        <v>2130190.9327314077</v>
      </c>
      <c r="C2681">
        <f t="shared" si="41"/>
        <v>1</v>
      </c>
    </row>
    <row r="2682" spans="1:3" x14ac:dyDescent="0.3">
      <c r="A2682">
        <v>2681</v>
      </c>
      <c r="B2682" s="7">
        <v>6269403.661054235</v>
      </c>
      <c r="C2682">
        <f t="shared" si="41"/>
        <v>1</v>
      </c>
    </row>
    <row r="2683" spans="1:3" x14ac:dyDescent="0.3">
      <c r="A2683">
        <v>2682</v>
      </c>
      <c r="B2683" s="7">
        <v>435321.49118878593</v>
      </c>
      <c r="C2683">
        <f t="shared" si="41"/>
        <v>1</v>
      </c>
    </row>
    <row r="2684" spans="1:3" x14ac:dyDescent="0.3">
      <c r="A2684">
        <v>2683</v>
      </c>
      <c r="B2684" s="7">
        <v>3906915.2167029236</v>
      </c>
      <c r="C2684">
        <f t="shared" si="41"/>
        <v>1</v>
      </c>
    </row>
    <row r="2685" spans="1:3" x14ac:dyDescent="0.3">
      <c r="A2685">
        <v>2684</v>
      </c>
      <c r="B2685" s="7">
        <v>1670328.9739642872</v>
      </c>
      <c r="C2685">
        <f t="shared" si="41"/>
        <v>1</v>
      </c>
    </row>
    <row r="2686" spans="1:3" x14ac:dyDescent="0.3">
      <c r="A2686">
        <v>2685</v>
      </c>
      <c r="B2686" s="7">
        <v>3955665.4582076422</v>
      </c>
      <c r="C2686">
        <f t="shared" si="41"/>
        <v>1</v>
      </c>
    </row>
    <row r="2687" spans="1:3" x14ac:dyDescent="0.3">
      <c r="A2687">
        <v>2686</v>
      </c>
      <c r="B2687" s="7">
        <v>12140439.82646773</v>
      </c>
      <c r="C2687">
        <f t="shared" si="41"/>
        <v>1</v>
      </c>
    </row>
    <row r="2688" spans="1:3" x14ac:dyDescent="0.3">
      <c r="A2688">
        <v>2687</v>
      </c>
      <c r="B2688" s="7">
        <v>5460383.7301628096</v>
      </c>
      <c r="C2688">
        <f t="shared" si="41"/>
        <v>1</v>
      </c>
    </row>
    <row r="2689" spans="1:3" x14ac:dyDescent="0.3">
      <c r="A2689">
        <v>2688</v>
      </c>
      <c r="B2689" s="7">
        <v>1727387.6393138564</v>
      </c>
      <c r="C2689">
        <f t="shared" si="41"/>
        <v>1</v>
      </c>
    </row>
    <row r="2690" spans="1:3" x14ac:dyDescent="0.3">
      <c r="A2690">
        <v>2689</v>
      </c>
      <c r="B2690" s="7">
        <v>11697174.676793475</v>
      </c>
      <c r="C2690">
        <f t="shared" si="41"/>
        <v>1</v>
      </c>
    </row>
    <row r="2691" spans="1:3" x14ac:dyDescent="0.3">
      <c r="A2691">
        <v>2690</v>
      </c>
      <c r="B2691" s="7">
        <v>9524054.3054351304</v>
      </c>
      <c r="C2691">
        <f t="shared" ref="C2691:C2754" si="42">IF(B2691=0,0,1)</f>
        <v>1</v>
      </c>
    </row>
    <row r="2692" spans="1:3" x14ac:dyDescent="0.3">
      <c r="A2692">
        <v>2691</v>
      </c>
      <c r="B2692" s="7">
        <v>7223310.2001601253</v>
      </c>
      <c r="C2692">
        <f t="shared" si="42"/>
        <v>1</v>
      </c>
    </row>
    <row r="2693" spans="1:3" x14ac:dyDescent="0.3">
      <c r="A2693">
        <v>2692</v>
      </c>
      <c r="B2693" s="7">
        <v>4089300.859807252</v>
      </c>
      <c r="C2693">
        <f t="shared" si="42"/>
        <v>1</v>
      </c>
    </row>
    <row r="2694" spans="1:3" x14ac:dyDescent="0.3">
      <c r="A2694">
        <v>2693</v>
      </c>
      <c r="B2694" s="7">
        <v>2116551.3084572013</v>
      </c>
      <c r="C2694">
        <f t="shared" si="42"/>
        <v>1</v>
      </c>
    </row>
    <row r="2695" spans="1:3" x14ac:dyDescent="0.3">
      <c r="A2695">
        <v>2694</v>
      </c>
      <c r="B2695" s="7">
        <v>25802200.13328452</v>
      </c>
      <c r="C2695">
        <f t="shared" si="42"/>
        <v>1</v>
      </c>
    </row>
    <row r="2696" spans="1:3" x14ac:dyDescent="0.3">
      <c r="A2696">
        <v>2695</v>
      </c>
      <c r="B2696" s="7">
        <v>5321667.3892836571</v>
      </c>
      <c r="C2696">
        <f t="shared" si="42"/>
        <v>1</v>
      </c>
    </row>
    <row r="2697" spans="1:3" x14ac:dyDescent="0.3">
      <c r="A2697">
        <v>2696</v>
      </c>
      <c r="B2697" s="7">
        <v>2022321.980681747</v>
      </c>
      <c r="C2697">
        <f t="shared" si="42"/>
        <v>1</v>
      </c>
    </row>
    <row r="2698" spans="1:3" x14ac:dyDescent="0.3">
      <c r="A2698">
        <v>2697</v>
      </c>
      <c r="B2698" s="7">
        <v>18315506.883494414</v>
      </c>
      <c r="C2698">
        <f t="shared" si="42"/>
        <v>1</v>
      </c>
    </row>
    <row r="2699" spans="1:3" x14ac:dyDescent="0.3">
      <c r="A2699">
        <v>2698</v>
      </c>
      <c r="B2699" s="7">
        <v>9973908.6985252351</v>
      </c>
      <c r="C2699">
        <f t="shared" si="42"/>
        <v>1</v>
      </c>
    </row>
    <row r="2700" spans="1:3" x14ac:dyDescent="0.3">
      <c r="A2700">
        <v>2699</v>
      </c>
      <c r="B2700" s="7">
        <v>15538732.541569592</v>
      </c>
      <c r="C2700">
        <f t="shared" si="42"/>
        <v>1</v>
      </c>
    </row>
    <row r="2701" spans="1:3" x14ac:dyDescent="0.3">
      <c r="A2701">
        <v>2700</v>
      </c>
      <c r="B2701" s="7">
        <v>616369.7278613908</v>
      </c>
      <c r="C2701">
        <f t="shared" si="42"/>
        <v>1</v>
      </c>
    </row>
    <row r="2702" spans="1:3" x14ac:dyDescent="0.3">
      <c r="A2702">
        <v>2701</v>
      </c>
      <c r="B2702" s="7">
        <v>207390.06702282352</v>
      </c>
      <c r="C2702">
        <f t="shared" si="42"/>
        <v>1</v>
      </c>
    </row>
    <row r="2703" spans="1:3" x14ac:dyDescent="0.3">
      <c r="A2703">
        <v>2702</v>
      </c>
      <c r="B2703" s="7">
        <v>11096594.235931164</v>
      </c>
      <c r="C2703">
        <f t="shared" si="42"/>
        <v>1</v>
      </c>
    </row>
    <row r="2704" spans="1:3" x14ac:dyDescent="0.3">
      <c r="A2704">
        <v>2703</v>
      </c>
      <c r="B2704" s="7">
        <v>895087.29070352041</v>
      </c>
      <c r="C2704">
        <f t="shared" si="42"/>
        <v>1</v>
      </c>
    </row>
    <row r="2705" spans="1:3" x14ac:dyDescent="0.3">
      <c r="A2705">
        <v>2704</v>
      </c>
      <c r="B2705" s="7">
        <v>1658317.2390669489</v>
      </c>
      <c r="C2705">
        <f t="shared" si="42"/>
        <v>1</v>
      </c>
    </row>
    <row r="2706" spans="1:3" x14ac:dyDescent="0.3">
      <c r="A2706">
        <v>2705</v>
      </c>
      <c r="B2706" s="7">
        <v>3876222.0353055284</v>
      </c>
      <c r="C2706">
        <f t="shared" si="42"/>
        <v>1</v>
      </c>
    </row>
    <row r="2707" spans="1:3" x14ac:dyDescent="0.3">
      <c r="A2707">
        <v>2706</v>
      </c>
      <c r="B2707" s="7">
        <v>1732244.7477092047</v>
      </c>
      <c r="C2707">
        <f t="shared" si="42"/>
        <v>1</v>
      </c>
    </row>
    <row r="2708" spans="1:3" x14ac:dyDescent="0.3">
      <c r="A2708">
        <v>2707</v>
      </c>
      <c r="B2708" s="7">
        <v>2336745.2459511613</v>
      </c>
      <c r="C2708">
        <f t="shared" si="42"/>
        <v>1</v>
      </c>
    </row>
    <row r="2709" spans="1:3" x14ac:dyDescent="0.3">
      <c r="A2709">
        <v>2708</v>
      </c>
      <c r="B2709" s="7">
        <v>4626000.3680744711</v>
      </c>
      <c r="C2709">
        <f t="shared" si="42"/>
        <v>1</v>
      </c>
    </row>
    <row r="2710" spans="1:3" x14ac:dyDescent="0.3">
      <c r="A2710">
        <v>2709</v>
      </c>
      <c r="B2710" s="7">
        <v>7614917.2894397266</v>
      </c>
      <c r="C2710">
        <f t="shared" si="42"/>
        <v>1</v>
      </c>
    </row>
    <row r="2711" spans="1:3" x14ac:dyDescent="0.3">
      <c r="A2711">
        <v>2710</v>
      </c>
      <c r="B2711" s="7">
        <v>9376436.9470430296</v>
      </c>
      <c r="C2711">
        <f t="shared" si="42"/>
        <v>1</v>
      </c>
    </row>
    <row r="2712" spans="1:3" x14ac:dyDescent="0.3">
      <c r="A2712">
        <v>2711</v>
      </c>
      <c r="B2712" s="7">
        <v>2900305.2618144476</v>
      </c>
      <c r="C2712">
        <f t="shared" si="42"/>
        <v>1</v>
      </c>
    </row>
    <row r="2713" spans="1:3" x14ac:dyDescent="0.3">
      <c r="A2713">
        <v>2712</v>
      </c>
      <c r="B2713" s="7">
        <v>2274195.6202476309</v>
      </c>
      <c r="C2713">
        <f t="shared" si="42"/>
        <v>1</v>
      </c>
    </row>
    <row r="2714" spans="1:3" x14ac:dyDescent="0.3">
      <c r="A2714">
        <v>2713</v>
      </c>
      <c r="B2714" s="7">
        <v>11402949.628452625</v>
      </c>
      <c r="C2714">
        <f t="shared" si="42"/>
        <v>1</v>
      </c>
    </row>
    <row r="2715" spans="1:3" x14ac:dyDescent="0.3">
      <c r="A2715">
        <v>2714</v>
      </c>
      <c r="B2715" s="7">
        <v>560944.37610935338</v>
      </c>
      <c r="C2715">
        <f t="shared" si="42"/>
        <v>1</v>
      </c>
    </row>
    <row r="2716" spans="1:3" x14ac:dyDescent="0.3">
      <c r="A2716">
        <v>2715</v>
      </c>
      <c r="B2716" s="7">
        <v>2520865.1650750749</v>
      </c>
      <c r="C2716">
        <f t="shared" si="42"/>
        <v>1</v>
      </c>
    </row>
    <row r="2717" spans="1:3" x14ac:dyDescent="0.3">
      <c r="A2717">
        <v>2716</v>
      </c>
      <c r="B2717" s="7">
        <v>8557423.9208487347</v>
      </c>
      <c r="C2717">
        <f t="shared" si="42"/>
        <v>1</v>
      </c>
    </row>
    <row r="2718" spans="1:3" x14ac:dyDescent="0.3">
      <c r="A2718">
        <v>2717</v>
      </c>
      <c r="B2718" s="7">
        <v>3979020.6293493332</v>
      </c>
      <c r="C2718">
        <f t="shared" si="42"/>
        <v>1</v>
      </c>
    </row>
    <row r="2719" spans="1:3" x14ac:dyDescent="0.3">
      <c r="A2719">
        <v>2718</v>
      </c>
      <c r="B2719" s="7">
        <v>2637774.6914994242</v>
      </c>
      <c r="C2719">
        <f t="shared" si="42"/>
        <v>1</v>
      </c>
    </row>
    <row r="2720" spans="1:3" x14ac:dyDescent="0.3">
      <c r="A2720">
        <v>2719</v>
      </c>
      <c r="B2720" s="7">
        <v>2724787.0936663114</v>
      </c>
      <c r="C2720">
        <f t="shared" si="42"/>
        <v>1</v>
      </c>
    </row>
    <row r="2721" spans="1:3" x14ac:dyDescent="0.3">
      <c r="A2721">
        <v>2720</v>
      </c>
      <c r="B2721" s="7">
        <v>8228396.9656805061</v>
      </c>
      <c r="C2721">
        <f t="shared" si="42"/>
        <v>1</v>
      </c>
    </row>
    <row r="2722" spans="1:3" x14ac:dyDescent="0.3">
      <c r="A2722">
        <v>2721</v>
      </c>
      <c r="B2722" s="7">
        <v>590103.89600058028</v>
      </c>
      <c r="C2722">
        <f t="shared" si="42"/>
        <v>1</v>
      </c>
    </row>
    <row r="2723" spans="1:3" x14ac:dyDescent="0.3">
      <c r="A2723">
        <v>2722</v>
      </c>
      <c r="B2723" s="7">
        <v>795954.03158218891</v>
      </c>
      <c r="C2723">
        <f t="shared" si="42"/>
        <v>1</v>
      </c>
    </row>
    <row r="2724" spans="1:3" x14ac:dyDescent="0.3">
      <c r="A2724">
        <v>2723</v>
      </c>
      <c r="B2724" s="7">
        <v>1202860.9712718304</v>
      </c>
      <c r="C2724">
        <f t="shared" si="42"/>
        <v>1</v>
      </c>
    </row>
    <row r="2725" spans="1:3" x14ac:dyDescent="0.3">
      <c r="A2725">
        <v>2724</v>
      </c>
      <c r="B2725" s="7">
        <v>14001513.437845131</v>
      </c>
      <c r="C2725">
        <f t="shared" si="42"/>
        <v>1</v>
      </c>
    </row>
    <row r="2726" spans="1:3" x14ac:dyDescent="0.3">
      <c r="A2726">
        <v>2725</v>
      </c>
      <c r="B2726" s="7">
        <v>1337667.0519783951</v>
      </c>
      <c r="C2726">
        <f t="shared" si="42"/>
        <v>1</v>
      </c>
    </row>
    <row r="2727" spans="1:3" x14ac:dyDescent="0.3">
      <c r="A2727">
        <v>2726</v>
      </c>
      <c r="B2727" s="7">
        <v>3039835.6168624526</v>
      </c>
      <c r="C2727">
        <f t="shared" si="42"/>
        <v>1</v>
      </c>
    </row>
    <row r="2728" spans="1:3" x14ac:dyDescent="0.3">
      <c r="A2728">
        <v>2727</v>
      </c>
      <c r="B2728" s="7">
        <v>2173987.5551679744</v>
      </c>
      <c r="C2728">
        <f t="shared" si="42"/>
        <v>1</v>
      </c>
    </row>
    <row r="2729" spans="1:3" x14ac:dyDescent="0.3">
      <c r="A2729">
        <v>2728</v>
      </c>
      <c r="B2729" s="7">
        <v>8050856.7565802336</v>
      </c>
      <c r="C2729">
        <f t="shared" si="42"/>
        <v>1</v>
      </c>
    </row>
    <row r="2730" spans="1:3" x14ac:dyDescent="0.3">
      <c r="A2730">
        <v>2729</v>
      </c>
      <c r="B2730" s="7">
        <v>9151709.2754308023</v>
      </c>
      <c r="C2730">
        <f t="shared" si="42"/>
        <v>1</v>
      </c>
    </row>
    <row r="2731" spans="1:3" x14ac:dyDescent="0.3">
      <c r="A2731">
        <v>2730</v>
      </c>
      <c r="B2731" s="7">
        <v>1340961.1050561033</v>
      </c>
      <c r="C2731">
        <f t="shared" si="42"/>
        <v>1</v>
      </c>
    </row>
    <row r="2732" spans="1:3" x14ac:dyDescent="0.3">
      <c r="A2732">
        <v>2731</v>
      </c>
      <c r="B2732" s="7">
        <v>14144508.0276735</v>
      </c>
      <c r="C2732">
        <f t="shared" si="42"/>
        <v>1</v>
      </c>
    </row>
    <row r="2733" spans="1:3" x14ac:dyDescent="0.3">
      <c r="A2733">
        <v>2732</v>
      </c>
      <c r="B2733" s="7">
        <v>3217858.6881793696</v>
      </c>
      <c r="C2733">
        <f t="shared" si="42"/>
        <v>1</v>
      </c>
    </row>
    <row r="2734" spans="1:3" x14ac:dyDescent="0.3">
      <c r="A2734">
        <v>2733</v>
      </c>
      <c r="B2734" s="7">
        <v>7089180.0048482232</v>
      </c>
      <c r="C2734">
        <f t="shared" si="42"/>
        <v>1</v>
      </c>
    </row>
    <row r="2735" spans="1:3" x14ac:dyDescent="0.3">
      <c r="A2735">
        <v>2734</v>
      </c>
      <c r="B2735" s="7">
        <v>2366012.6476962888</v>
      </c>
      <c r="C2735">
        <f t="shared" si="42"/>
        <v>1</v>
      </c>
    </row>
    <row r="2736" spans="1:3" x14ac:dyDescent="0.3">
      <c r="A2736">
        <v>2735</v>
      </c>
      <c r="B2736" s="7">
        <v>18155360.244680766</v>
      </c>
      <c r="C2736">
        <f t="shared" si="42"/>
        <v>1</v>
      </c>
    </row>
    <row r="2737" spans="1:3" x14ac:dyDescent="0.3">
      <c r="A2737">
        <v>2736</v>
      </c>
      <c r="B2737" s="7">
        <v>13034529.49768074</v>
      </c>
      <c r="C2737">
        <f t="shared" si="42"/>
        <v>1</v>
      </c>
    </row>
    <row r="2738" spans="1:3" x14ac:dyDescent="0.3">
      <c r="A2738">
        <v>2737</v>
      </c>
      <c r="B2738" s="7">
        <v>4462753.5951448875</v>
      </c>
      <c r="C2738">
        <f t="shared" si="42"/>
        <v>1</v>
      </c>
    </row>
    <row r="2739" spans="1:3" x14ac:dyDescent="0.3">
      <c r="A2739">
        <v>2738</v>
      </c>
      <c r="B2739" s="7">
        <v>1293210.6568063959</v>
      </c>
      <c r="C2739">
        <f t="shared" si="42"/>
        <v>1</v>
      </c>
    </row>
    <row r="2740" spans="1:3" x14ac:dyDescent="0.3">
      <c r="A2740">
        <v>2739</v>
      </c>
      <c r="B2740" s="7">
        <v>6320487.0491223596</v>
      </c>
      <c r="C2740">
        <f t="shared" si="42"/>
        <v>1</v>
      </c>
    </row>
    <row r="2741" spans="1:3" x14ac:dyDescent="0.3">
      <c r="A2741">
        <v>2740</v>
      </c>
      <c r="B2741" s="7">
        <v>10228425.624582443</v>
      </c>
      <c r="C2741">
        <f t="shared" si="42"/>
        <v>1</v>
      </c>
    </row>
    <row r="2742" spans="1:3" x14ac:dyDescent="0.3">
      <c r="A2742">
        <v>2741</v>
      </c>
      <c r="B2742" s="7">
        <v>6549083.6394096455</v>
      </c>
      <c r="C2742">
        <f t="shared" si="42"/>
        <v>1</v>
      </c>
    </row>
    <row r="2743" spans="1:3" x14ac:dyDescent="0.3">
      <c r="A2743">
        <v>2742</v>
      </c>
      <c r="B2743" s="7">
        <v>1440329.3268682829</v>
      </c>
      <c r="C2743">
        <f t="shared" si="42"/>
        <v>1</v>
      </c>
    </row>
    <row r="2744" spans="1:3" x14ac:dyDescent="0.3">
      <c r="A2744">
        <v>2743</v>
      </c>
      <c r="B2744" s="7">
        <v>17655636.902726106</v>
      </c>
      <c r="C2744">
        <f t="shared" si="42"/>
        <v>1</v>
      </c>
    </row>
    <row r="2745" spans="1:3" x14ac:dyDescent="0.3">
      <c r="A2745">
        <v>2744</v>
      </c>
      <c r="B2745" s="7">
        <v>4814036.0589766474</v>
      </c>
      <c r="C2745">
        <f t="shared" si="42"/>
        <v>1</v>
      </c>
    </row>
    <row r="2746" spans="1:3" x14ac:dyDescent="0.3">
      <c r="A2746">
        <v>2745</v>
      </c>
      <c r="B2746" s="7">
        <v>4501387.177992003</v>
      </c>
      <c r="C2746">
        <f t="shared" si="42"/>
        <v>1</v>
      </c>
    </row>
    <row r="2747" spans="1:3" x14ac:dyDescent="0.3">
      <c r="A2747">
        <v>2746</v>
      </c>
      <c r="B2747" s="7">
        <v>1142877.9698697056</v>
      </c>
      <c r="C2747">
        <f t="shared" si="42"/>
        <v>1</v>
      </c>
    </row>
    <row r="2748" spans="1:3" x14ac:dyDescent="0.3">
      <c r="A2748">
        <v>2747</v>
      </c>
      <c r="B2748" s="7">
        <v>4327507.7914571539</v>
      </c>
      <c r="C2748">
        <f t="shared" si="42"/>
        <v>1</v>
      </c>
    </row>
    <row r="2749" spans="1:3" x14ac:dyDescent="0.3">
      <c r="A2749">
        <v>2748</v>
      </c>
      <c r="B2749" s="7">
        <v>6834456.1160619957</v>
      </c>
      <c r="C2749">
        <f t="shared" si="42"/>
        <v>1</v>
      </c>
    </row>
    <row r="2750" spans="1:3" x14ac:dyDescent="0.3">
      <c r="A2750">
        <v>2749</v>
      </c>
      <c r="B2750" s="7">
        <v>7438811.0198538639</v>
      </c>
      <c r="C2750">
        <f t="shared" si="42"/>
        <v>1</v>
      </c>
    </row>
    <row r="2751" spans="1:3" x14ac:dyDescent="0.3">
      <c r="A2751">
        <v>2750</v>
      </c>
      <c r="B2751" s="7">
        <v>4341959.5035895361</v>
      </c>
      <c r="C2751">
        <f t="shared" si="42"/>
        <v>1</v>
      </c>
    </row>
    <row r="2752" spans="1:3" x14ac:dyDescent="0.3">
      <c r="A2752">
        <v>2751</v>
      </c>
      <c r="B2752" s="7">
        <v>27763639.342749164</v>
      </c>
      <c r="C2752">
        <f t="shared" si="42"/>
        <v>1</v>
      </c>
    </row>
    <row r="2753" spans="1:3" x14ac:dyDescent="0.3">
      <c r="A2753">
        <v>2752</v>
      </c>
      <c r="B2753" s="7">
        <v>12101756.25268822</v>
      </c>
      <c r="C2753">
        <f t="shared" si="42"/>
        <v>1</v>
      </c>
    </row>
    <row r="2754" spans="1:3" x14ac:dyDescent="0.3">
      <c r="A2754">
        <v>2753</v>
      </c>
      <c r="B2754" s="7">
        <v>475177.17541957001</v>
      </c>
      <c r="C2754">
        <f t="shared" si="42"/>
        <v>1</v>
      </c>
    </row>
    <row r="2755" spans="1:3" x14ac:dyDescent="0.3">
      <c r="A2755">
        <v>2754</v>
      </c>
      <c r="B2755" s="7">
        <v>5004734.7506628809</v>
      </c>
      <c r="C2755">
        <f t="shared" ref="C2755:C2818" si="43">IF(B2755=0,0,1)</f>
        <v>1</v>
      </c>
    </row>
    <row r="2756" spans="1:3" x14ac:dyDescent="0.3">
      <c r="A2756">
        <v>2755</v>
      </c>
      <c r="B2756" s="7">
        <v>3851851.1446309309</v>
      </c>
      <c r="C2756">
        <f t="shared" si="43"/>
        <v>1</v>
      </c>
    </row>
    <row r="2757" spans="1:3" x14ac:dyDescent="0.3">
      <c r="A2757">
        <v>2756</v>
      </c>
      <c r="B2757" s="7">
        <v>6721485.9411829114</v>
      </c>
      <c r="C2757">
        <f t="shared" si="43"/>
        <v>1</v>
      </c>
    </row>
    <row r="2758" spans="1:3" x14ac:dyDescent="0.3">
      <c r="A2758">
        <v>2757</v>
      </c>
      <c r="B2758" s="7">
        <v>3942407.546290773</v>
      </c>
      <c r="C2758">
        <f t="shared" si="43"/>
        <v>1</v>
      </c>
    </row>
    <row r="2759" spans="1:3" x14ac:dyDescent="0.3">
      <c r="A2759">
        <v>2758</v>
      </c>
      <c r="B2759" s="7">
        <v>1714370.8818320583</v>
      </c>
      <c r="C2759">
        <f t="shared" si="43"/>
        <v>1</v>
      </c>
    </row>
    <row r="2760" spans="1:3" x14ac:dyDescent="0.3">
      <c r="A2760">
        <v>2759</v>
      </c>
      <c r="B2760" s="7">
        <v>945062.46803581319</v>
      </c>
      <c r="C2760">
        <f t="shared" si="43"/>
        <v>1</v>
      </c>
    </row>
    <row r="2761" spans="1:3" x14ac:dyDescent="0.3">
      <c r="A2761">
        <v>2760</v>
      </c>
      <c r="B2761" s="7">
        <v>5456831.3750340389</v>
      </c>
      <c r="C2761">
        <f t="shared" si="43"/>
        <v>1</v>
      </c>
    </row>
    <row r="2762" spans="1:3" x14ac:dyDescent="0.3">
      <c r="A2762">
        <v>2761</v>
      </c>
      <c r="B2762" s="7">
        <v>11847678.843853956</v>
      </c>
      <c r="C2762">
        <f t="shared" si="43"/>
        <v>1</v>
      </c>
    </row>
    <row r="2763" spans="1:3" x14ac:dyDescent="0.3">
      <c r="A2763">
        <v>2762</v>
      </c>
      <c r="B2763" s="7">
        <v>4095619.6533595142</v>
      </c>
      <c r="C2763">
        <f t="shared" si="43"/>
        <v>1</v>
      </c>
    </row>
    <row r="2764" spans="1:3" x14ac:dyDescent="0.3">
      <c r="A2764">
        <v>2763</v>
      </c>
      <c r="B2764" s="7">
        <v>5640601.1025911663</v>
      </c>
      <c r="C2764">
        <f t="shared" si="43"/>
        <v>1</v>
      </c>
    </row>
    <row r="2765" spans="1:3" x14ac:dyDescent="0.3">
      <c r="A2765">
        <v>2764</v>
      </c>
      <c r="B2765" s="7">
        <v>436183.87813613907</v>
      </c>
      <c r="C2765">
        <f t="shared" si="43"/>
        <v>1</v>
      </c>
    </row>
    <row r="2766" spans="1:3" x14ac:dyDescent="0.3">
      <c r="A2766">
        <v>2765</v>
      </c>
      <c r="B2766" s="7">
        <v>0</v>
      </c>
      <c r="C2766">
        <f t="shared" si="43"/>
        <v>0</v>
      </c>
    </row>
    <row r="2767" spans="1:3" x14ac:dyDescent="0.3">
      <c r="A2767">
        <v>2766</v>
      </c>
      <c r="B2767" s="7">
        <v>933952.68446210306</v>
      </c>
      <c r="C2767">
        <f t="shared" si="43"/>
        <v>1</v>
      </c>
    </row>
    <row r="2768" spans="1:3" x14ac:dyDescent="0.3">
      <c r="A2768">
        <v>2767</v>
      </c>
      <c r="B2768" s="7">
        <v>10458261.806322748</v>
      </c>
      <c r="C2768">
        <f t="shared" si="43"/>
        <v>1</v>
      </c>
    </row>
    <row r="2769" spans="1:3" x14ac:dyDescent="0.3">
      <c r="A2769">
        <v>2768</v>
      </c>
      <c r="B2769" s="7">
        <v>8017573.9815692566</v>
      </c>
      <c r="C2769">
        <f t="shared" si="43"/>
        <v>1</v>
      </c>
    </row>
    <row r="2770" spans="1:3" x14ac:dyDescent="0.3">
      <c r="A2770">
        <v>2769</v>
      </c>
      <c r="B2770" s="7">
        <v>3842017.2214033348</v>
      </c>
      <c r="C2770">
        <f t="shared" si="43"/>
        <v>1</v>
      </c>
    </row>
    <row r="2771" spans="1:3" x14ac:dyDescent="0.3">
      <c r="A2771">
        <v>2770</v>
      </c>
      <c r="B2771" s="7">
        <v>12014215.830664735</v>
      </c>
      <c r="C2771">
        <f t="shared" si="43"/>
        <v>1</v>
      </c>
    </row>
    <row r="2772" spans="1:3" x14ac:dyDescent="0.3">
      <c r="A2772">
        <v>2771</v>
      </c>
      <c r="B2772" s="7">
        <v>1557753.1972066429</v>
      </c>
      <c r="C2772">
        <f t="shared" si="43"/>
        <v>1</v>
      </c>
    </row>
    <row r="2773" spans="1:3" x14ac:dyDescent="0.3">
      <c r="A2773">
        <v>2772</v>
      </c>
      <c r="B2773" s="7">
        <v>11796911.077325957</v>
      </c>
      <c r="C2773">
        <f t="shared" si="43"/>
        <v>1</v>
      </c>
    </row>
    <row r="2774" spans="1:3" x14ac:dyDescent="0.3">
      <c r="A2774">
        <v>2773</v>
      </c>
      <c r="B2774" s="7">
        <v>4740096.5825359495</v>
      </c>
      <c r="C2774">
        <f t="shared" si="43"/>
        <v>1</v>
      </c>
    </row>
    <row r="2775" spans="1:3" x14ac:dyDescent="0.3">
      <c r="A2775">
        <v>2774</v>
      </c>
      <c r="B2775" s="7">
        <v>1618079.7411564651</v>
      </c>
      <c r="C2775">
        <f t="shared" si="43"/>
        <v>1</v>
      </c>
    </row>
    <row r="2776" spans="1:3" x14ac:dyDescent="0.3">
      <c r="A2776">
        <v>2775</v>
      </c>
      <c r="B2776" s="7">
        <v>9713996.4462072533</v>
      </c>
      <c r="C2776">
        <f t="shared" si="43"/>
        <v>1</v>
      </c>
    </row>
    <row r="2777" spans="1:3" x14ac:dyDescent="0.3">
      <c r="A2777">
        <v>2776</v>
      </c>
      <c r="B2777" s="7">
        <v>10003581.247355353</v>
      </c>
      <c r="C2777">
        <f t="shared" si="43"/>
        <v>1</v>
      </c>
    </row>
    <row r="2778" spans="1:3" x14ac:dyDescent="0.3">
      <c r="A2778">
        <v>2777</v>
      </c>
      <c r="B2778" s="7">
        <v>9689810.9564249441</v>
      </c>
      <c r="C2778">
        <f t="shared" si="43"/>
        <v>1</v>
      </c>
    </row>
    <row r="2779" spans="1:3" x14ac:dyDescent="0.3">
      <c r="A2779">
        <v>2778</v>
      </c>
      <c r="B2779" s="7">
        <v>5023500.8182007615</v>
      </c>
      <c r="C2779">
        <f t="shared" si="43"/>
        <v>1</v>
      </c>
    </row>
    <row r="2780" spans="1:3" x14ac:dyDescent="0.3">
      <c r="A2780">
        <v>2779</v>
      </c>
      <c r="B2780" s="7">
        <v>2523734.5859417669</v>
      </c>
      <c r="C2780">
        <f t="shared" si="43"/>
        <v>1</v>
      </c>
    </row>
    <row r="2781" spans="1:3" x14ac:dyDescent="0.3">
      <c r="A2781">
        <v>2780</v>
      </c>
      <c r="B2781" s="7">
        <v>4166015.1348761972</v>
      </c>
      <c r="C2781">
        <f t="shared" si="43"/>
        <v>1</v>
      </c>
    </row>
    <row r="2782" spans="1:3" x14ac:dyDescent="0.3">
      <c r="A2782">
        <v>2781</v>
      </c>
      <c r="B2782" s="7">
        <v>7871822.6330823246</v>
      </c>
      <c r="C2782">
        <f t="shared" si="43"/>
        <v>1</v>
      </c>
    </row>
    <row r="2783" spans="1:3" x14ac:dyDescent="0.3">
      <c r="A2783">
        <v>2782</v>
      </c>
      <c r="B2783" s="7">
        <v>1178162.9463048254</v>
      </c>
      <c r="C2783">
        <f t="shared" si="43"/>
        <v>1</v>
      </c>
    </row>
    <row r="2784" spans="1:3" x14ac:dyDescent="0.3">
      <c r="A2784">
        <v>2783</v>
      </c>
      <c r="B2784" s="7">
        <v>2545332.6529638995</v>
      </c>
      <c r="C2784">
        <f t="shared" si="43"/>
        <v>1</v>
      </c>
    </row>
    <row r="2785" spans="1:3" x14ac:dyDescent="0.3">
      <c r="A2785">
        <v>2784</v>
      </c>
      <c r="B2785" s="7">
        <v>2847222.3349518217</v>
      </c>
      <c r="C2785">
        <f t="shared" si="43"/>
        <v>1</v>
      </c>
    </row>
    <row r="2786" spans="1:3" x14ac:dyDescent="0.3">
      <c r="A2786">
        <v>2785</v>
      </c>
      <c r="B2786" s="7">
        <v>8785018.8806787226</v>
      </c>
      <c r="C2786">
        <f t="shared" si="43"/>
        <v>1</v>
      </c>
    </row>
    <row r="2787" spans="1:3" x14ac:dyDescent="0.3">
      <c r="A2787">
        <v>2786</v>
      </c>
      <c r="B2787" s="7">
        <v>4242739.0602183752</v>
      </c>
      <c r="C2787">
        <f t="shared" si="43"/>
        <v>1</v>
      </c>
    </row>
    <row r="2788" spans="1:3" x14ac:dyDescent="0.3">
      <c r="A2788">
        <v>2787</v>
      </c>
      <c r="B2788" s="7">
        <v>3190208.7635675254</v>
      </c>
      <c r="C2788">
        <f t="shared" si="43"/>
        <v>1</v>
      </c>
    </row>
    <row r="2789" spans="1:3" x14ac:dyDescent="0.3">
      <c r="A2789">
        <v>2788</v>
      </c>
      <c r="B2789" s="7">
        <v>3008490.8050654619</v>
      </c>
      <c r="C2789">
        <f t="shared" si="43"/>
        <v>1</v>
      </c>
    </row>
    <row r="2790" spans="1:3" x14ac:dyDescent="0.3">
      <c r="A2790">
        <v>2789</v>
      </c>
      <c r="B2790" s="7">
        <v>7102942.19512814</v>
      </c>
      <c r="C2790">
        <f t="shared" si="43"/>
        <v>1</v>
      </c>
    </row>
    <row r="2791" spans="1:3" x14ac:dyDescent="0.3">
      <c r="A2791">
        <v>2790</v>
      </c>
      <c r="B2791" s="7">
        <v>7010084.9765401538</v>
      </c>
      <c r="C2791">
        <f t="shared" si="43"/>
        <v>1</v>
      </c>
    </row>
    <row r="2792" spans="1:3" x14ac:dyDescent="0.3">
      <c r="A2792">
        <v>2791</v>
      </c>
      <c r="B2792" s="7">
        <v>7678518.9826954398</v>
      </c>
      <c r="C2792">
        <f t="shared" si="43"/>
        <v>1</v>
      </c>
    </row>
    <row r="2793" spans="1:3" x14ac:dyDescent="0.3">
      <c r="A2793">
        <v>2792</v>
      </c>
      <c r="B2793" s="7">
        <v>4669033.8644011142</v>
      </c>
      <c r="C2793">
        <f t="shared" si="43"/>
        <v>1</v>
      </c>
    </row>
    <row r="2794" spans="1:3" x14ac:dyDescent="0.3">
      <c r="A2794">
        <v>2793</v>
      </c>
      <c r="B2794" s="7">
        <v>3981793.4653922589</v>
      </c>
      <c r="C2794">
        <f t="shared" si="43"/>
        <v>1</v>
      </c>
    </row>
    <row r="2795" spans="1:3" x14ac:dyDescent="0.3">
      <c r="A2795">
        <v>2794</v>
      </c>
      <c r="B2795" s="7">
        <v>3932200.4255782305</v>
      </c>
      <c r="C2795">
        <f t="shared" si="43"/>
        <v>1</v>
      </c>
    </row>
    <row r="2796" spans="1:3" x14ac:dyDescent="0.3">
      <c r="A2796">
        <v>2795</v>
      </c>
      <c r="B2796" s="7">
        <v>749765.25476442219</v>
      </c>
      <c r="C2796">
        <f t="shared" si="43"/>
        <v>1</v>
      </c>
    </row>
    <row r="2797" spans="1:3" x14ac:dyDescent="0.3">
      <c r="A2797">
        <v>2796</v>
      </c>
      <c r="B2797" s="7">
        <v>627393.83802392764</v>
      </c>
      <c r="C2797">
        <f t="shared" si="43"/>
        <v>1</v>
      </c>
    </row>
    <row r="2798" spans="1:3" x14ac:dyDescent="0.3">
      <c r="A2798">
        <v>2797</v>
      </c>
      <c r="B2798" s="7">
        <v>0</v>
      </c>
      <c r="C2798">
        <f t="shared" si="43"/>
        <v>0</v>
      </c>
    </row>
    <row r="2799" spans="1:3" x14ac:dyDescent="0.3">
      <c r="A2799">
        <v>2798</v>
      </c>
      <c r="B2799" s="7">
        <v>14529733.052053548</v>
      </c>
      <c r="C2799">
        <f t="shared" si="43"/>
        <v>1</v>
      </c>
    </row>
    <row r="2800" spans="1:3" x14ac:dyDescent="0.3">
      <c r="A2800">
        <v>2799</v>
      </c>
      <c r="B2800" s="7">
        <v>7822469.83209744</v>
      </c>
      <c r="C2800">
        <f t="shared" si="43"/>
        <v>1</v>
      </c>
    </row>
    <row r="2801" spans="1:3" x14ac:dyDescent="0.3">
      <c r="A2801">
        <v>2800</v>
      </c>
      <c r="B2801" s="7">
        <v>7008972.3317253981</v>
      </c>
      <c r="C2801">
        <f t="shared" si="43"/>
        <v>1</v>
      </c>
    </row>
    <row r="2802" spans="1:3" x14ac:dyDescent="0.3">
      <c r="A2802">
        <v>2801</v>
      </c>
      <c r="B2802" s="7">
        <v>8502521.4006033912</v>
      </c>
      <c r="C2802">
        <f t="shared" si="43"/>
        <v>1</v>
      </c>
    </row>
    <row r="2803" spans="1:3" x14ac:dyDescent="0.3">
      <c r="A2803">
        <v>2802</v>
      </c>
      <c r="B2803" s="7">
        <v>1280735.4976113429</v>
      </c>
      <c r="C2803">
        <f t="shared" si="43"/>
        <v>1</v>
      </c>
    </row>
    <row r="2804" spans="1:3" x14ac:dyDescent="0.3">
      <c r="A2804">
        <v>2803</v>
      </c>
      <c r="B2804" s="7">
        <v>713770.69445747253</v>
      </c>
      <c r="C2804">
        <f t="shared" si="43"/>
        <v>1</v>
      </c>
    </row>
    <row r="2805" spans="1:3" x14ac:dyDescent="0.3">
      <c r="A2805">
        <v>2804</v>
      </c>
      <c r="B2805" s="7">
        <v>2210294.9098116755</v>
      </c>
      <c r="C2805">
        <f t="shared" si="43"/>
        <v>1</v>
      </c>
    </row>
    <row r="2806" spans="1:3" x14ac:dyDescent="0.3">
      <c r="A2806">
        <v>2805</v>
      </c>
      <c r="B2806" s="7">
        <v>5634370.0882396614</v>
      </c>
      <c r="C2806">
        <f t="shared" si="43"/>
        <v>1</v>
      </c>
    </row>
    <row r="2807" spans="1:3" x14ac:dyDescent="0.3">
      <c r="A2807">
        <v>2806</v>
      </c>
      <c r="B2807" s="7">
        <v>4410717.804357484</v>
      </c>
      <c r="C2807">
        <f t="shared" si="43"/>
        <v>1</v>
      </c>
    </row>
    <row r="2808" spans="1:3" x14ac:dyDescent="0.3">
      <c r="A2808">
        <v>2807</v>
      </c>
      <c r="B2808" s="7">
        <v>5091376.5979336752</v>
      </c>
      <c r="C2808">
        <f t="shared" si="43"/>
        <v>1</v>
      </c>
    </row>
    <row r="2809" spans="1:3" x14ac:dyDescent="0.3">
      <c r="A2809">
        <v>2808</v>
      </c>
      <c r="B2809" s="7">
        <v>6897039.5440953206</v>
      </c>
      <c r="C2809">
        <f t="shared" si="43"/>
        <v>1</v>
      </c>
    </row>
    <row r="2810" spans="1:3" x14ac:dyDescent="0.3">
      <c r="A2810">
        <v>2809</v>
      </c>
      <c r="B2810" s="7">
        <v>5652168.4652247308</v>
      </c>
      <c r="C2810">
        <f t="shared" si="43"/>
        <v>1</v>
      </c>
    </row>
    <row r="2811" spans="1:3" x14ac:dyDescent="0.3">
      <c r="A2811">
        <v>2810</v>
      </c>
      <c r="B2811" s="7">
        <v>4766610.3834458031</v>
      </c>
      <c r="C2811">
        <f t="shared" si="43"/>
        <v>1</v>
      </c>
    </row>
    <row r="2812" spans="1:3" x14ac:dyDescent="0.3">
      <c r="A2812">
        <v>2811</v>
      </c>
      <c r="B2812" s="7">
        <v>12091145.059762672</v>
      </c>
      <c r="C2812">
        <f t="shared" si="43"/>
        <v>1</v>
      </c>
    </row>
    <row r="2813" spans="1:3" x14ac:dyDescent="0.3">
      <c r="A2813">
        <v>2812</v>
      </c>
      <c r="B2813" s="7">
        <v>4767518.4825324649</v>
      </c>
      <c r="C2813">
        <f t="shared" si="43"/>
        <v>1</v>
      </c>
    </row>
    <row r="2814" spans="1:3" x14ac:dyDescent="0.3">
      <c r="A2814">
        <v>2813</v>
      </c>
      <c r="B2814" s="7">
        <v>2971078.2174079055</v>
      </c>
      <c r="C2814">
        <f t="shared" si="43"/>
        <v>1</v>
      </c>
    </row>
    <row r="2815" spans="1:3" x14ac:dyDescent="0.3">
      <c r="A2815">
        <v>2814</v>
      </c>
      <c r="B2815" s="7">
        <v>4071106.3256714055</v>
      </c>
      <c r="C2815">
        <f t="shared" si="43"/>
        <v>1</v>
      </c>
    </row>
    <row r="2816" spans="1:3" x14ac:dyDescent="0.3">
      <c r="A2816">
        <v>2815</v>
      </c>
      <c r="B2816" s="7">
        <v>2504220.0721301688</v>
      </c>
      <c r="C2816">
        <f t="shared" si="43"/>
        <v>1</v>
      </c>
    </row>
    <row r="2817" spans="1:3" x14ac:dyDescent="0.3">
      <c r="A2817">
        <v>2816</v>
      </c>
      <c r="B2817" s="7">
        <v>2852680.7918011444</v>
      </c>
      <c r="C2817">
        <f t="shared" si="43"/>
        <v>1</v>
      </c>
    </row>
    <row r="2818" spans="1:3" x14ac:dyDescent="0.3">
      <c r="A2818">
        <v>2817</v>
      </c>
      <c r="B2818" s="7">
        <v>6700022.5718373377</v>
      </c>
      <c r="C2818">
        <f t="shared" si="43"/>
        <v>1</v>
      </c>
    </row>
    <row r="2819" spans="1:3" x14ac:dyDescent="0.3">
      <c r="A2819">
        <v>2818</v>
      </c>
      <c r="B2819" s="7">
        <v>6104672.6842145128</v>
      </c>
      <c r="C2819">
        <f t="shared" ref="C2819:C2882" si="44">IF(B2819=0,0,1)</f>
        <v>1</v>
      </c>
    </row>
    <row r="2820" spans="1:3" x14ac:dyDescent="0.3">
      <c r="A2820">
        <v>2819</v>
      </c>
      <c r="B2820" s="7">
        <v>3498746.2108568936</v>
      </c>
      <c r="C2820">
        <f t="shared" si="44"/>
        <v>1</v>
      </c>
    </row>
    <row r="2821" spans="1:3" x14ac:dyDescent="0.3">
      <c r="A2821">
        <v>2820</v>
      </c>
      <c r="B2821" s="7">
        <v>11648728.539069615</v>
      </c>
      <c r="C2821">
        <f t="shared" si="44"/>
        <v>1</v>
      </c>
    </row>
    <row r="2822" spans="1:3" x14ac:dyDescent="0.3">
      <c r="A2822">
        <v>2821</v>
      </c>
      <c r="B2822" s="7">
        <v>3396418.2289702501</v>
      </c>
      <c r="C2822">
        <f t="shared" si="44"/>
        <v>1</v>
      </c>
    </row>
    <row r="2823" spans="1:3" x14ac:dyDescent="0.3">
      <c r="A2823">
        <v>2822</v>
      </c>
      <c r="B2823" s="7">
        <v>19998494.273730192</v>
      </c>
      <c r="C2823">
        <f t="shared" si="44"/>
        <v>1</v>
      </c>
    </row>
    <row r="2824" spans="1:3" x14ac:dyDescent="0.3">
      <c r="A2824">
        <v>2823</v>
      </c>
      <c r="B2824" s="7">
        <v>7198561.1022417126</v>
      </c>
      <c r="C2824">
        <f t="shared" si="44"/>
        <v>1</v>
      </c>
    </row>
    <row r="2825" spans="1:3" x14ac:dyDescent="0.3">
      <c r="A2825">
        <v>2824</v>
      </c>
      <c r="B2825" s="7">
        <v>7748534.2646049866</v>
      </c>
      <c r="C2825">
        <f t="shared" si="44"/>
        <v>1</v>
      </c>
    </row>
    <row r="2826" spans="1:3" x14ac:dyDescent="0.3">
      <c r="A2826">
        <v>2825</v>
      </c>
      <c r="B2826" s="7">
        <v>7930708.8170455964</v>
      </c>
      <c r="C2826">
        <f t="shared" si="44"/>
        <v>1</v>
      </c>
    </row>
    <row r="2827" spans="1:3" x14ac:dyDescent="0.3">
      <c r="A2827">
        <v>2826</v>
      </c>
      <c r="B2827" s="7">
        <v>3380100.7549492167</v>
      </c>
      <c r="C2827">
        <f t="shared" si="44"/>
        <v>1</v>
      </c>
    </row>
    <row r="2828" spans="1:3" x14ac:dyDescent="0.3">
      <c r="A2828">
        <v>2827</v>
      </c>
      <c r="B2828" s="7">
        <v>8129999.8474089308</v>
      </c>
      <c r="C2828">
        <f t="shared" si="44"/>
        <v>1</v>
      </c>
    </row>
    <row r="2829" spans="1:3" x14ac:dyDescent="0.3">
      <c r="A2829">
        <v>2828</v>
      </c>
      <c r="B2829" s="7">
        <v>10086169.156897867</v>
      </c>
      <c r="C2829">
        <f t="shared" si="44"/>
        <v>1</v>
      </c>
    </row>
    <row r="2830" spans="1:3" x14ac:dyDescent="0.3">
      <c r="A2830">
        <v>2829</v>
      </c>
      <c r="B2830" s="7">
        <v>6119667.4181606341</v>
      </c>
      <c r="C2830">
        <f t="shared" si="44"/>
        <v>1</v>
      </c>
    </row>
    <row r="2831" spans="1:3" x14ac:dyDescent="0.3">
      <c r="A2831">
        <v>2830</v>
      </c>
      <c r="B2831" s="7">
        <v>11306870.191198329</v>
      </c>
      <c r="C2831">
        <f t="shared" si="44"/>
        <v>1</v>
      </c>
    </row>
    <row r="2832" spans="1:3" x14ac:dyDescent="0.3">
      <c r="A2832">
        <v>2831</v>
      </c>
      <c r="B2832" s="7">
        <v>3230204.4078598367</v>
      </c>
      <c r="C2832">
        <f t="shared" si="44"/>
        <v>1</v>
      </c>
    </row>
    <row r="2833" spans="1:3" x14ac:dyDescent="0.3">
      <c r="A2833">
        <v>2832</v>
      </c>
      <c r="B2833" s="7">
        <v>4483309.1082584513</v>
      </c>
      <c r="C2833">
        <f t="shared" si="44"/>
        <v>1</v>
      </c>
    </row>
    <row r="2834" spans="1:3" x14ac:dyDescent="0.3">
      <c r="A2834">
        <v>2833</v>
      </c>
      <c r="B2834" s="7">
        <v>5357374.1977037732</v>
      </c>
      <c r="C2834">
        <f t="shared" si="44"/>
        <v>1</v>
      </c>
    </row>
    <row r="2835" spans="1:3" x14ac:dyDescent="0.3">
      <c r="A2835">
        <v>2834</v>
      </c>
      <c r="B2835" s="7">
        <v>7429909.5379957575</v>
      </c>
      <c r="C2835">
        <f t="shared" si="44"/>
        <v>1</v>
      </c>
    </row>
    <row r="2836" spans="1:3" x14ac:dyDescent="0.3">
      <c r="A2836">
        <v>2835</v>
      </c>
      <c r="B2836" s="7">
        <v>6226968.7559800064</v>
      </c>
      <c r="C2836">
        <f t="shared" si="44"/>
        <v>1</v>
      </c>
    </row>
    <row r="2837" spans="1:3" x14ac:dyDescent="0.3">
      <c r="A2837">
        <v>2836</v>
      </c>
      <c r="B2837" s="7">
        <v>8550962.1069520991</v>
      </c>
      <c r="C2837">
        <f t="shared" si="44"/>
        <v>1</v>
      </c>
    </row>
    <row r="2838" spans="1:3" x14ac:dyDescent="0.3">
      <c r="A2838">
        <v>2837</v>
      </c>
      <c r="B2838" s="7">
        <v>9652628.362338407</v>
      </c>
      <c r="C2838">
        <f t="shared" si="44"/>
        <v>1</v>
      </c>
    </row>
    <row r="2839" spans="1:3" x14ac:dyDescent="0.3">
      <c r="A2839">
        <v>2838</v>
      </c>
      <c r="B2839" s="7">
        <v>2771313.2331156572</v>
      </c>
      <c r="C2839">
        <f t="shared" si="44"/>
        <v>1</v>
      </c>
    </row>
    <row r="2840" spans="1:3" x14ac:dyDescent="0.3">
      <c r="A2840">
        <v>2839</v>
      </c>
      <c r="B2840" s="7">
        <v>6033349.5375473537</v>
      </c>
      <c r="C2840">
        <f t="shared" si="44"/>
        <v>1</v>
      </c>
    </row>
    <row r="2841" spans="1:3" x14ac:dyDescent="0.3">
      <c r="A2841">
        <v>2840</v>
      </c>
      <c r="B2841" s="7">
        <v>5515166.6857992103</v>
      </c>
      <c r="C2841">
        <f t="shared" si="44"/>
        <v>1</v>
      </c>
    </row>
    <row r="2842" spans="1:3" x14ac:dyDescent="0.3">
      <c r="A2842">
        <v>2841</v>
      </c>
      <c r="B2842" s="7">
        <v>0</v>
      </c>
      <c r="C2842">
        <f t="shared" si="44"/>
        <v>0</v>
      </c>
    </row>
    <row r="2843" spans="1:3" x14ac:dyDescent="0.3">
      <c r="A2843">
        <v>2842</v>
      </c>
      <c r="B2843" s="7">
        <v>5206230.830175369</v>
      </c>
      <c r="C2843">
        <f t="shared" si="44"/>
        <v>1</v>
      </c>
    </row>
    <row r="2844" spans="1:3" x14ac:dyDescent="0.3">
      <c r="A2844">
        <v>2843</v>
      </c>
      <c r="B2844" s="7">
        <v>5262528.0738376025</v>
      </c>
      <c r="C2844">
        <f t="shared" si="44"/>
        <v>1</v>
      </c>
    </row>
    <row r="2845" spans="1:3" x14ac:dyDescent="0.3">
      <c r="A2845">
        <v>2844</v>
      </c>
      <c r="B2845" s="7">
        <v>2972984.2019087076</v>
      </c>
      <c r="C2845">
        <f t="shared" si="44"/>
        <v>1</v>
      </c>
    </row>
    <row r="2846" spans="1:3" x14ac:dyDescent="0.3">
      <c r="A2846">
        <v>2845</v>
      </c>
      <c r="B2846" s="7">
        <v>3715658.0424931059</v>
      </c>
      <c r="C2846">
        <f t="shared" si="44"/>
        <v>1</v>
      </c>
    </row>
    <row r="2847" spans="1:3" x14ac:dyDescent="0.3">
      <c r="A2847">
        <v>2846</v>
      </c>
      <c r="B2847" s="7">
        <v>5517566.6117371107</v>
      </c>
      <c r="C2847">
        <f t="shared" si="44"/>
        <v>1</v>
      </c>
    </row>
    <row r="2848" spans="1:3" x14ac:dyDescent="0.3">
      <c r="A2848">
        <v>2847</v>
      </c>
      <c r="B2848" s="7">
        <v>3284331.1116346065</v>
      </c>
      <c r="C2848">
        <f t="shared" si="44"/>
        <v>1</v>
      </c>
    </row>
    <row r="2849" spans="1:3" x14ac:dyDescent="0.3">
      <c r="A2849">
        <v>2848</v>
      </c>
      <c r="B2849" s="7">
        <v>9101321.6979960054</v>
      </c>
      <c r="C2849">
        <f t="shared" si="44"/>
        <v>1</v>
      </c>
    </row>
    <row r="2850" spans="1:3" x14ac:dyDescent="0.3">
      <c r="A2850">
        <v>2849</v>
      </c>
      <c r="B2850" s="7">
        <v>833493.90617729037</v>
      </c>
      <c r="C2850">
        <f t="shared" si="44"/>
        <v>1</v>
      </c>
    </row>
    <row r="2851" spans="1:3" x14ac:dyDescent="0.3">
      <c r="A2851">
        <v>2850</v>
      </c>
      <c r="B2851" s="7">
        <v>1703274.0239235756</v>
      </c>
      <c r="C2851">
        <f t="shared" si="44"/>
        <v>1</v>
      </c>
    </row>
    <row r="2852" spans="1:3" x14ac:dyDescent="0.3">
      <c r="A2852">
        <v>2851</v>
      </c>
      <c r="B2852" s="7">
        <v>11449719.76852859</v>
      </c>
      <c r="C2852">
        <f t="shared" si="44"/>
        <v>1</v>
      </c>
    </row>
    <row r="2853" spans="1:3" x14ac:dyDescent="0.3">
      <c r="A2853">
        <v>2852</v>
      </c>
      <c r="B2853" s="7">
        <v>5121031.4322715933</v>
      </c>
      <c r="C2853">
        <f t="shared" si="44"/>
        <v>1</v>
      </c>
    </row>
    <row r="2854" spans="1:3" x14ac:dyDescent="0.3">
      <c r="A2854">
        <v>2853</v>
      </c>
      <c r="B2854" s="7">
        <v>4672534.8145926762</v>
      </c>
      <c r="C2854">
        <f t="shared" si="44"/>
        <v>1</v>
      </c>
    </row>
    <row r="2855" spans="1:3" x14ac:dyDescent="0.3">
      <c r="A2855">
        <v>2854</v>
      </c>
      <c r="B2855" s="7">
        <v>8427770.0131658167</v>
      </c>
      <c r="C2855">
        <f t="shared" si="44"/>
        <v>1</v>
      </c>
    </row>
    <row r="2856" spans="1:3" x14ac:dyDescent="0.3">
      <c r="A2856">
        <v>2855</v>
      </c>
      <c r="B2856" s="7">
        <v>2626083.4491849728</v>
      </c>
      <c r="C2856">
        <f t="shared" si="44"/>
        <v>1</v>
      </c>
    </row>
    <row r="2857" spans="1:3" x14ac:dyDescent="0.3">
      <c r="A2857">
        <v>2856</v>
      </c>
      <c r="B2857" s="7">
        <v>1203835.0968261836</v>
      </c>
      <c r="C2857">
        <f t="shared" si="44"/>
        <v>1</v>
      </c>
    </row>
    <row r="2858" spans="1:3" x14ac:dyDescent="0.3">
      <c r="A2858">
        <v>2857</v>
      </c>
      <c r="B2858" s="7">
        <v>7853409.7079091286</v>
      </c>
      <c r="C2858">
        <f t="shared" si="44"/>
        <v>1</v>
      </c>
    </row>
    <row r="2859" spans="1:3" x14ac:dyDescent="0.3">
      <c r="A2859">
        <v>2858</v>
      </c>
      <c r="B2859" s="7">
        <v>7268489.2019697679</v>
      </c>
      <c r="C2859">
        <f t="shared" si="44"/>
        <v>1</v>
      </c>
    </row>
    <row r="2860" spans="1:3" x14ac:dyDescent="0.3">
      <c r="A2860">
        <v>2859</v>
      </c>
      <c r="B2860" s="7">
        <v>12783121.592954507</v>
      </c>
      <c r="C2860">
        <f t="shared" si="44"/>
        <v>1</v>
      </c>
    </row>
    <row r="2861" spans="1:3" x14ac:dyDescent="0.3">
      <c r="A2861">
        <v>2860</v>
      </c>
      <c r="B2861" s="7">
        <v>7407888.4593494814</v>
      </c>
      <c r="C2861">
        <f t="shared" si="44"/>
        <v>1</v>
      </c>
    </row>
    <row r="2862" spans="1:3" x14ac:dyDescent="0.3">
      <c r="A2862">
        <v>2861</v>
      </c>
      <c r="B2862" s="7">
        <v>1920676.5442665559</v>
      </c>
      <c r="C2862">
        <f t="shared" si="44"/>
        <v>1</v>
      </c>
    </row>
    <row r="2863" spans="1:3" x14ac:dyDescent="0.3">
      <c r="A2863">
        <v>2862</v>
      </c>
      <c r="B2863" s="7">
        <v>16832330.273353811</v>
      </c>
      <c r="C2863">
        <f t="shared" si="44"/>
        <v>1</v>
      </c>
    </row>
    <row r="2864" spans="1:3" x14ac:dyDescent="0.3">
      <c r="A2864">
        <v>2863</v>
      </c>
      <c r="B2864" s="7">
        <v>4624953.2144257072</v>
      </c>
      <c r="C2864">
        <f t="shared" si="44"/>
        <v>1</v>
      </c>
    </row>
    <row r="2865" spans="1:3" x14ac:dyDescent="0.3">
      <c r="A2865">
        <v>2864</v>
      </c>
      <c r="B2865" s="7">
        <v>2784640.9330308009</v>
      </c>
      <c r="C2865">
        <f t="shared" si="44"/>
        <v>1</v>
      </c>
    </row>
    <row r="2866" spans="1:3" x14ac:dyDescent="0.3">
      <c r="A2866">
        <v>2865</v>
      </c>
      <c r="B2866" s="7">
        <v>2209119.8558810037</v>
      </c>
      <c r="C2866">
        <f t="shared" si="44"/>
        <v>1</v>
      </c>
    </row>
    <row r="2867" spans="1:3" x14ac:dyDescent="0.3">
      <c r="A2867">
        <v>2866</v>
      </c>
      <c r="B2867" s="7">
        <v>4252752.229842403</v>
      </c>
      <c r="C2867">
        <f t="shared" si="44"/>
        <v>1</v>
      </c>
    </row>
    <row r="2868" spans="1:3" x14ac:dyDescent="0.3">
      <c r="A2868">
        <v>2867</v>
      </c>
      <c r="B2868" s="7">
        <v>2757776.5452729729</v>
      </c>
      <c r="C2868">
        <f t="shared" si="44"/>
        <v>1</v>
      </c>
    </row>
    <row r="2869" spans="1:3" x14ac:dyDescent="0.3">
      <c r="A2869">
        <v>2868</v>
      </c>
      <c r="B2869" s="7">
        <v>6564584.1189307086</v>
      </c>
      <c r="C2869">
        <f t="shared" si="44"/>
        <v>1</v>
      </c>
    </row>
    <row r="2870" spans="1:3" x14ac:dyDescent="0.3">
      <c r="A2870">
        <v>2869</v>
      </c>
      <c r="B2870" s="7">
        <v>7191561.308120166</v>
      </c>
      <c r="C2870">
        <f t="shared" si="44"/>
        <v>1</v>
      </c>
    </row>
    <row r="2871" spans="1:3" x14ac:dyDescent="0.3">
      <c r="A2871">
        <v>2870</v>
      </c>
      <c r="B2871" s="7">
        <v>12165544.35045913</v>
      </c>
      <c r="C2871">
        <f t="shared" si="44"/>
        <v>1</v>
      </c>
    </row>
    <row r="2872" spans="1:3" x14ac:dyDescent="0.3">
      <c r="A2872">
        <v>2871</v>
      </c>
      <c r="B2872" s="7">
        <v>6973093.1737254644</v>
      </c>
      <c r="C2872">
        <f t="shared" si="44"/>
        <v>1</v>
      </c>
    </row>
    <row r="2873" spans="1:3" x14ac:dyDescent="0.3">
      <c r="A2873">
        <v>2872</v>
      </c>
      <c r="B2873" s="7">
        <v>5663528.2546069911</v>
      </c>
      <c r="C2873">
        <f t="shared" si="44"/>
        <v>1</v>
      </c>
    </row>
    <row r="2874" spans="1:3" x14ac:dyDescent="0.3">
      <c r="A2874">
        <v>2873</v>
      </c>
      <c r="B2874" s="7">
        <v>11697011.56083113</v>
      </c>
      <c r="C2874">
        <f t="shared" si="44"/>
        <v>1</v>
      </c>
    </row>
    <row r="2875" spans="1:3" x14ac:dyDescent="0.3">
      <c r="A2875">
        <v>2874</v>
      </c>
      <c r="B2875" s="7">
        <v>5767820.7415199727</v>
      </c>
      <c r="C2875">
        <f t="shared" si="44"/>
        <v>1</v>
      </c>
    </row>
    <row r="2876" spans="1:3" x14ac:dyDescent="0.3">
      <c r="A2876">
        <v>2875</v>
      </c>
      <c r="B2876" s="7">
        <v>3454455.1268813042</v>
      </c>
      <c r="C2876">
        <f t="shared" si="44"/>
        <v>1</v>
      </c>
    </row>
    <row r="2877" spans="1:3" x14ac:dyDescent="0.3">
      <c r="A2877">
        <v>2876</v>
      </c>
      <c r="B2877" s="7">
        <v>15268116.378997436</v>
      </c>
      <c r="C2877">
        <f t="shared" si="44"/>
        <v>1</v>
      </c>
    </row>
    <row r="2878" spans="1:3" x14ac:dyDescent="0.3">
      <c r="A2878">
        <v>2877</v>
      </c>
      <c r="B2878" s="7">
        <v>5043604.0493739275</v>
      </c>
      <c r="C2878">
        <f t="shared" si="44"/>
        <v>1</v>
      </c>
    </row>
    <row r="2879" spans="1:3" x14ac:dyDescent="0.3">
      <c r="A2879">
        <v>2878</v>
      </c>
      <c r="B2879" s="7">
        <v>21594411.812157623</v>
      </c>
      <c r="C2879">
        <f t="shared" si="44"/>
        <v>1</v>
      </c>
    </row>
    <row r="2880" spans="1:3" x14ac:dyDescent="0.3">
      <c r="A2880">
        <v>2879</v>
      </c>
      <c r="B2880" s="7">
        <v>6382261.9987196224</v>
      </c>
      <c r="C2880">
        <f t="shared" si="44"/>
        <v>1</v>
      </c>
    </row>
    <row r="2881" spans="1:3" x14ac:dyDescent="0.3">
      <c r="A2881">
        <v>2880</v>
      </c>
      <c r="B2881" s="7">
        <v>16194216.002293356</v>
      </c>
      <c r="C2881">
        <f t="shared" si="44"/>
        <v>1</v>
      </c>
    </row>
    <row r="2882" spans="1:3" x14ac:dyDescent="0.3">
      <c r="A2882">
        <v>2881</v>
      </c>
      <c r="B2882" s="7">
        <v>1235948.3960297168</v>
      </c>
      <c r="C2882">
        <f t="shared" si="44"/>
        <v>1</v>
      </c>
    </row>
    <row r="2883" spans="1:3" x14ac:dyDescent="0.3">
      <c r="A2883">
        <v>2882</v>
      </c>
      <c r="B2883" s="7">
        <v>6002634.4219601741</v>
      </c>
      <c r="C2883">
        <f t="shared" ref="C2883:C2946" si="45">IF(B2883=0,0,1)</f>
        <v>1</v>
      </c>
    </row>
    <row r="2884" spans="1:3" x14ac:dyDescent="0.3">
      <c r="A2884">
        <v>2883</v>
      </c>
      <c r="B2884" s="7">
        <v>14771331.626466591</v>
      </c>
      <c r="C2884">
        <f t="shared" si="45"/>
        <v>1</v>
      </c>
    </row>
    <row r="2885" spans="1:3" x14ac:dyDescent="0.3">
      <c r="A2885">
        <v>2884</v>
      </c>
      <c r="B2885" s="7">
        <v>798984.40546861966</v>
      </c>
      <c r="C2885">
        <f t="shared" si="45"/>
        <v>1</v>
      </c>
    </row>
    <row r="2886" spans="1:3" x14ac:dyDescent="0.3">
      <c r="A2886">
        <v>2885</v>
      </c>
      <c r="B2886" s="7">
        <v>2061600.0022756013</v>
      </c>
      <c r="C2886">
        <f t="shared" si="45"/>
        <v>1</v>
      </c>
    </row>
    <row r="2887" spans="1:3" x14ac:dyDescent="0.3">
      <c r="A2887">
        <v>2886</v>
      </c>
      <c r="B2887" s="7">
        <v>7019381.203158116</v>
      </c>
      <c r="C2887">
        <f t="shared" si="45"/>
        <v>1</v>
      </c>
    </row>
    <row r="2888" spans="1:3" x14ac:dyDescent="0.3">
      <c r="A2888">
        <v>2887</v>
      </c>
      <c r="B2888" s="7">
        <v>7957489.1497780187</v>
      </c>
      <c r="C2888">
        <f t="shared" si="45"/>
        <v>1</v>
      </c>
    </row>
    <row r="2889" spans="1:3" x14ac:dyDescent="0.3">
      <c r="A2889">
        <v>2888</v>
      </c>
      <c r="B2889" s="7">
        <v>22409354.28155607</v>
      </c>
      <c r="C2889">
        <f t="shared" si="45"/>
        <v>1</v>
      </c>
    </row>
    <row r="2890" spans="1:3" x14ac:dyDescent="0.3">
      <c r="A2890">
        <v>2889</v>
      </c>
      <c r="B2890" s="7">
        <v>4549714.0426834505</v>
      </c>
      <c r="C2890">
        <f t="shared" si="45"/>
        <v>1</v>
      </c>
    </row>
    <row r="2891" spans="1:3" x14ac:dyDescent="0.3">
      <c r="A2891">
        <v>2890</v>
      </c>
      <c r="B2891" s="7">
        <v>11654979.616432838</v>
      </c>
      <c r="C2891">
        <f t="shared" si="45"/>
        <v>1</v>
      </c>
    </row>
    <row r="2892" spans="1:3" x14ac:dyDescent="0.3">
      <c r="A2892">
        <v>2891</v>
      </c>
      <c r="B2892" s="7">
        <v>12366337.786900407</v>
      </c>
      <c r="C2892">
        <f t="shared" si="45"/>
        <v>1</v>
      </c>
    </row>
    <row r="2893" spans="1:3" x14ac:dyDescent="0.3">
      <c r="A2893">
        <v>2892</v>
      </c>
      <c r="B2893" s="7">
        <v>42593.158122819332</v>
      </c>
      <c r="C2893">
        <f t="shared" si="45"/>
        <v>1</v>
      </c>
    </row>
    <row r="2894" spans="1:3" x14ac:dyDescent="0.3">
      <c r="A2894">
        <v>2893</v>
      </c>
      <c r="B2894" s="7">
        <v>5115521.2533169929</v>
      </c>
      <c r="C2894">
        <f t="shared" si="45"/>
        <v>1</v>
      </c>
    </row>
    <row r="2895" spans="1:3" x14ac:dyDescent="0.3">
      <c r="A2895">
        <v>2894</v>
      </c>
      <c r="B2895" s="7">
        <v>9991308.5988524146</v>
      </c>
      <c r="C2895">
        <f t="shared" si="45"/>
        <v>1</v>
      </c>
    </row>
    <row r="2896" spans="1:3" x14ac:dyDescent="0.3">
      <c r="A2896">
        <v>2895</v>
      </c>
      <c r="B2896" s="7">
        <v>6155099.5165169667</v>
      </c>
      <c r="C2896">
        <f t="shared" si="45"/>
        <v>1</v>
      </c>
    </row>
    <row r="2897" spans="1:3" x14ac:dyDescent="0.3">
      <c r="A2897">
        <v>2896</v>
      </c>
      <c r="B2897" s="7">
        <v>3727734.6043795878</v>
      </c>
      <c r="C2897">
        <f t="shared" si="45"/>
        <v>1</v>
      </c>
    </row>
    <row r="2898" spans="1:3" x14ac:dyDescent="0.3">
      <c r="A2898">
        <v>2897</v>
      </c>
      <c r="B2898" s="7">
        <v>7826615.3788549146</v>
      </c>
      <c r="C2898">
        <f t="shared" si="45"/>
        <v>1</v>
      </c>
    </row>
    <row r="2899" spans="1:3" x14ac:dyDescent="0.3">
      <c r="A2899">
        <v>2898</v>
      </c>
      <c r="B2899" s="7">
        <v>784941.61016485514</v>
      </c>
      <c r="C2899">
        <f t="shared" si="45"/>
        <v>1</v>
      </c>
    </row>
    <row r="2900" spans="1:3" x14ac:dyDescent="0.3">
      <c r="A2900">
        <v>2899</v>
      </c>
      <c r="B2900" s="7">
        <v>7213968.9033518825</v>
      </c>
      <c r="C2900">
        <f t="shared" si="45"/>
        <v>1</v>
      </c>
    </row>
    <row r="2901" spans="1:3" x14ac:dyDescent="0.3">
      <c r="A2901">
        <v>2900</v>
      </c>
      <c r="B2901" s="7">
        <v>3623931.7464599269</v>
      </c>
      <c r="C2901">
        <f t="shared" si="45"/>
        <v>1</v>
      </c>
    </row>
    <row r="2902" spans="1:3" x14ac:dyDescent="0.3">
      <c r="A2902">
        <v>2901</v>
      </c>
      <c r="B2902" s="7">
        <v>2259893.8560259547</v>
      </c>
      <c r="C2902">
        <f t="shared" si="45"/>
        <v>1</v>
      </c>
    </row>
    <row r="2903" spans="1:3" x14ac:dyDescent="0.3">
      <c r="A2903">
        <v>2902</v>
      </c>
      <c r="B2903" s="7">
        <v>9101578.5717193969</v>
      </c>
      <c r="C2903">
        <f t="shared" si="45"/>
        <v>1</v>
      </c>
    </row>
    <row r="2904" spans="1:3" x14ac:dyDescent="0.3">
      <c r="A2904">
        <v>2903</v>
      </c>
      <c r="B2904" s="7">
        <v>7375365.7794210333</v>
      </c>
      <c r="C2904">
        <f t="shared" si="45"/>
        <v>1</v>
      </c>
    </row>
    <row r="2905" spans="1:3" x14ac:dyDescent="0.3">
      <c r="A2905">
        <v>2904</v>
      </c>
      <c r="B2905" s="7">
        <v>5533198.3285943251</v>
      </c>
      <c r="C2905">
        <f t="shared" si="45"/>
        <v>1</v>
      </c>
    </row>
    <row r="2906" spans="1:3" x14ac:dyDescent="0.3">
      <c r="A2906">
        <v>2905</v>
      </c>
      <c r="B2906" s="7">
        <v>3190026.6248499658</v>
      </c>
      <c r="C2906">
        <f t="shared" si="45"/>
        <v>1</v>
      </c>
    </row>
    <row r="2907" spans="1:3" x14ac:dyDescent="0.3">
      <c r="A2907">
        <v>2906</v>
      </c>
      <c r="B2907" s="7">
        <v>14003491.889739309</v>
      </c>
      <c r="C2907">
        <f t="shared" si="45"/>
        <v>1</v>
      </c>
    </row>
    <row r="2908" spans="1:3" x14ac:dyDescent="0.3">
      <c r="A2908">
        <v>2907</v>
      </c>
      <c r="B2908" s="7">
        <v>2984058.3823062535</v>
      </c>
      <c r="C2908">
        <f t="shared" si="45"/>
        <v>1</v>
      </c>
    </row>
    <row r="2909" spans="1:3" x14ac:dyDescent="0.3">
      <c r="A2909">
        <v>2908</v>
      </c>
      <c r="B2909" s="7">
        <v>17876074.927486386</v>
      </c>
      <c r="C2909">
        <f t="shared" si="45"/>
        <v>1</v>
      </c>
    </row>
    <row r="2910" spans="1:3" x14ac:dyDescent="0.3">
      <c r="A2910">
        <v>2909</v>
      </c>
      <c r="B2910" s="7">
        <v>15094623.345955214</v>
      </c>
      <c r="C2910">
        <f t="shared" si="45"/>
        <v>1</v>
      </c>
    </row>
    <row r="2911" spans="1:3" x14ac:dyDescent="0.3">
      <c r="A2911">
        <v>2910</v>
      </c>
      <c r="B2911" s="7">
        <v>9807823.8997323774</v>
      </c>
      <c r="C2911">
        <f t="shared" si="45"/>
        <v>1</v>
      </c>
    </row>
    <row r="2912" spans="1:3" x14ac:dyDescent="0.3">
      <c r="A2912">
        <v>2911</v>
      </c>
      <c r="B2912" s="7">
        <v>5424104.9161165981</v>
      </c>
      <c r="C2912">
        <f t="shared" si="45"/>
        <v>1</v>
      </c>
    </row>
    <row r="2913" spans="1:3" x14ac:dyDescent="0.3">
      <c r="A2913">
        <v>2912</v>
      </c>
      <c r="B2913" s="7">
        <v>3060088.8593106978</v>
      </c>
      <c r="C2913">
        <f t="shared" si="45"/>
        <v>1</v>
      </c>
    </row>
    <row r="2914" spans="1:3" x14ac:dyDescent="0.3">
      <c r="A2914">
        <v>2913</v>
      </c>
      <c r="B2914" s="7">
        <v>4603329.9811544437</v>
      </c>
      <c r="C2914">
        <f t="shared" si="45"/>
        <v>1</v>
      </c>
    </row>
    <row r="2915" spans="1:3" x14ac:dyDescent="0.3">
      <c r="A2915">
        <v>2914</v>
      </c>
      <c r="B2915" s="7">
        <v>11556980.441771151</v>
      </c>
      <c r="C2915">
        <f t="shared" si="45"/>
        <v>1</v>
      </c>
    </row>
    <row r="2916" spans="1:3" x14ac:dyDescent="0.3">
      <c r="A2916">
        <v>2915</v>
      </c>
      <c r="B2916" s="7">
        <v>4606667.9113712711</v>
      </c>
      <c r="C2916">
        <f t="shared" si="45"/>
        <v>1</v>
      </c>
    </row>
    <row r="2917" spans="1:3" x14ac:dyDescent="0.3">
      <c r="A2917">
        <v>2916</v>
      </c>
      <c r="B2917" s="7">
        <v>10641863.985964144</v>
      </c>
      <c r="C2917">
        <f t="shared" si="45"/>
        <v>1</v>
      </c>
    </row>
    <row r="2918" spans="1:3" x14ac:dyDescent="0.3">
      <c r="A2918">
        <v>2917</v>
      </c>
      <c r="B2918" s="7">
        <v>5750045.955489873</v>
      </c>
      <c r="C2918">
        <f t="shared" si="45"/>
        <v>1</v>
      </c>
    </row>
    <row r="2919" spans="1:3" x14ac:dyDescent="0.3">
      <c r="A2919">
        <v>2918</v>
      </c>
      <c r="B2919" s="7">
        <v>2374353.4661096851</v>
      </c>
      <c r="C2919">
        <f t="shared" si="45"/>
        <v>1</v>
      </c>
    </row>
    <row r="2920" spans="1:3" x14ac:dyDescent="0.3">
      <c r="A2920">
        <v>2919</v>
      </c>
      <c r="B2920" s="7">
        <v>0</v>
      </c>
      <c r="C2920">
        <f t="shared" si="45"/>
        <v>0</v>
      </c>
    </row>
    <row r="2921" spans="1:3" x14ac:dyDescent="0.3">
      <c r="A2921">
        <v>2920</v>
      </c>
      <c r="B2921" s="7">
        <v>0</v>
      </c>
      <c r="C2921">
        <f t="shared" si="45"/>
        <v>0</v>
      </c>
    </row>
    <row r="2922" spans="1:3" x14ac:dyDescent="0.3">
      <c r="A2922">
        <v>2921</v>
      </c>
      <c r="B2922" s="7">
        <v>6111402.3915927876</v>
      </c>
      <c r="C2922">
        <f t="shared" si="45"/>
        <v>1</v>
      </c>
    </row>
    <row r="2923" spans="1:3" x14ac:dyDescent="0.3">
      <c r="A2923">
        <v>2922</v>
      </c>
      <c r="B2923" s="7">
        <v>13779003.268487304</v>
      </c>
      <c r="C2923">
        <f t="shared" si="45"/>
        <v>1</v>
      </c>
    </row>
    <row r="2924" spans="1:3" x14ac:dyDescent="0.3">
      <c r="A2924">
        <v>2923</v>
      </c>
      <c r="B2924" s="7">
        <v>13140053.573484259</v>
      </c>
      <c r="C2924">
        <f t="shared" si="45"/>
        <v>1</v>
      </c>
    </row>
    <row r="2925" spans="1:3" x14ac:dyDescent="0.3">
      <c r="A2925">
        <v>2924</v>
      </c>
      <c r="B2925" s="7">
        <v>11141584.43580948</v>
      </c>
      <c r="C2925">
        <f t="shared" si="45"/>
        <v>1</v>
      </c>
    </row>
    <row r="2926" spans="1:3" x14ac:dyDescent="0.3">
      <c r="A2926">
        <v>2925</v>
      </c>
      <c r="B2926" s="7">
        <v>888874.77282140672</v>
      </c>
      <c r="C2926">
        <f t="shared" si="45"/>
        <v>1</v>
      </c>
    </row>
    <row r="2927" spans="1:3" x14ac:dyDescent="0.3">
      <c r="A2927">
        <v>2926</v>
      </c>
      <c r="B2927" s="7">
        <v>2907214.0444476455</v>
      </c>
      <c r="C2927">
        <f t="shared" si="45"/>
        <v>1</v>
      </c>
    </row>
    <row r="2928" spans="1:3" x14ac:dyDescent="0.3">
      <c r="A2928">
        <v>2927</v>
      </c>
      <c r="B2928" s="7">
        <v>9923548.1829173286</v>
      </c>
      <c r="C2928">
        <f t="shared" si="45"/>
        <v>1</v>
      </c>
    </row>
    <row r="2929" spans="1:3" x14ac:dyDescent="0.3">
      <c r="A2929">
        <v>2928</v>
      </c>
      <c r="B2929" s="7">
        <v>5706727.2934991848</v>
      </c>
      <c r="C2929">
        <f t="shared" si="45"/>
        <v>1</v>
      </c>
    </row>
    <row r="2930" spans="1:3" x14ac:dyDescent="0.3">
      <c r="A2930">
        <v>2929</v>
      </c>
      <c r="B2930" s="7">
        <v>8059905.099632821</v>
      </c>
      <c r="C2930">
        <f t="shared" si="45"/>
        <v>1</v>
      </c>
    </row>
    <row r="2931" spans="1:3" x14ac:dyDescent="0.3">
      <c r="A2931">
        <v>2930</v>
      </c>
      <c r="B2931" s="7">
        <v>15755781.299590794</v>
      </c>
      <c r="C2931">
        <f t="shared" si="45"/>
        <v>1</v>
      </c>
    </row>
    <row r="2932" spans="1:3" x14ac:dyDescent="0.3">
      <c r="A2932">
        <v>2931</v>
      </c>
      <c r="B2932" s="7">
        <v>9659222.7034790851</v>
      </c>
      <c r="C2932">
        <f t="shared" si="45"/>
        <v>1</v>
      </c>
    </row>
    <row r="2933" spans="1:3" x14ac:dyDescent="0.3">
      <c r="A2933">
        <v>2932</v>
      </c>
      <c r="B2933" s="7">
        <v>1406664.056336805</v>
      </c>
      <c r="C2933">
        <f t="shared" si="45"/>
        <v>1</v>
      </c>
    </row>
    <row r="2934" spans="1:3" x14ac:dyDescent="0.3">
      <c r="A2934">
        <v>2933</v>
      </c>
      <c r="B2934" s="7">
        <v>3777725.4735601107</v>
      </c>
      <c r="C2934">
        <f t="shared" si="45"/>
        <v>1</v>
      </c>
    </row>
    <row r="2935" spans="1:3" x14ac:dyDescent="0.3">
      <c r="A2935">
        <v>2934</v>
      </c>
      <c r="B2935" s="7">
        <v>1798271.0843141263</v>
      </c>
      <c r="C2935">
        <f t="shared" si="45"/>
        <v>1</v>
      </c>
    </row>
    <row r="2936" spans="1:3" x14ac:dyDescent="0.3">
      <c r="A2936">
        <v>2935</v>
      </c>
      <c r="B2936" s="7">
        <v>4224751.6306557152</v>
      </c>
      <c r="C2936">
        <f t="shared" si="45"/>
        <v>1</v>
      </c>
    </row>
    <row r="2937" spans="1:3" x14ac:dyDescent="0.3">
      <c r="A2937">
        <v>2936</v>
      </c>
      <c r="B2937" s="7">
        <v>4766940.7016705032</v>
      </c>
      <c r="C2937">
        <f t="shared" si="45"/>
        <v>1</v>
      </c>
    </row>
    <row r="2938" spans="1:3" x14ac:dyDescent="0.3">
      <c r="A2938">
        <v>2937</v>
      </c>
      <c r="B2938" s="7">
        <v>7539330.1518506324</v>
      </c>
      <c r="C2938">
        <f t="shared" si="45"/>
        <v>1</v>
      </c>
    </row>
    <row r="2939" spans="1:3" x14ac:dyDescent="0.3">
      <c r="A2939">
        <v>2938</v>
      </c>
      <c r="B2939" s="7">
        <v>4141700.8628989118</v>
      </c>
      <c r="C2939">
        <f t="shared" si="45"/>
        <v>1</v>
      </c>
    </row>
    <row r="2940" spans="1:3" x14ac:dyDescent="0.3">
      <c r="A2940">
        <v>2939</v>
      </c>
      <c r="B2940" s="7">
        <v>2054051.3460236958</v>
      </c>
      <c r="C2940">
        <f t="shared" si="45"/>
        <v>1</v>
      </c>
    </row>
    <row r="2941" spans="1:3" x14ac:dyDescent="0.3">
      <c r="A2941">
        <v>2940</v>
      </c>
      <c r="B2941" s="7">
        <v>3424389.9149437486</v>
      </c>
      <c r="C2941">
        <f t="shared" si="45"/>
        <v>1</v>
      </c>
    </row>
    <row r="2942" spans="1:3" x14ac:dyDescent="0.3">
      <c r="A2942">
        <v>2941</v>
      </c>
      <c r="B2942" s="7">
        <v>12711563.4923281</v>
      </c>
      <c r="C2942">
        <f t="shared" si="45"/>
        <v>1</v>
      </c>
    </row>
    <row r="2943" spans="1:3" x14ac:dyDescent="0.3">
      <c r="A2943">
        <v>2942</v>
      </c>
      <c r="B2943" s="7">
        <v>2019856.3275510948</v>
      </c>
      <c r="C2943">
        <f t="shared" si="45"/>
        <v>1</v>
      </c>
    </row>
    <row r="2944" spans="1:3" x14ac:dyDescent="0.3">
      <c r="A2944">
        <v>2943</v>
      </c>
      <c r="B2944" s="7">
        <v>1665781.6402405023</v>
      </c>
      <c r="C2944">
        <f t="shared" si="45"/>
        <v>1</v>
      </c>
    </row>
    <row r="2945" spans="1:3" x14ac:dyDescent="0.3">
      <c r="A2945">
        <v>2944</v>
      </c>
      <c r="B2945" s="7">
        <v>5771170.1309162285</v>
      </c>
      <c r="C2945">
        <f t="shared" si="45"/>
        <v>1</v>
      </c>
    </row>
    <row r="2946" spans="1:3" x14ac:dyDescent="0.3">
      <c r="A2946">
        <v>2945</v>
      </c>
      <c r="B2946" s="7">
        <v>2648206.6165314275</v>
      </c>
      <c r="C2946">
        <f t="shared" si="45"/>
        <v>1</v>
      </c>
    </row>
    <row r="2947" spans="1:3" x14ac:dyDescent="0.3">
      <c r="A2947">
        <v>2946</v>
      </c>
      <c r="B2947" s="7">
        <v>2965940.2508974192</v>
      </c>
      <c r="C2947">
        <f t="shared" ref="C2947:C3001" si="46">IF(B2947=0,0,1)</f>
        <v>1</v>
      </c>
    </row>
    <row r="2948" spans="1:3" x14ac:dyDescent="0.3">
      <c r="A2948">
        <v>2947</v>
      </c>
      <c r="B2948" s="7">
        <v>9238737.7860428579</v>
      </c>
      <c r="C2948">
        <f t="shared" si="46"/>
        <v>1</v>
      </c>
    </row>
    <row r="2949" spans="1:3" x14ac:dyDescent="0.3">
      <c r="A2949">
        <v>2948</v>
      </c>
      <c r="B2949" s="7">
        <v>3961804.4517671084</v>
      </c>
      <c r="C2949">
        <f t="shared" si="46"/>
        <v>1</v>
      </c>
    </row>
    <row r="2950" spans="1:3" x14ac:dyDescent="0.3">
      <c r="A2950">
        <v>2949</v>
      </c>
      <c r="B2950" s="7">
        <v>10807441.399695668</v>
      </c>
      <c r="C2950">
        <f t="shared" si="46"/>
        <v>1</v>
      </c>
    </row>
    <row r="2951" spans="1:3" x14ac:dyDescent="0.3">
      <c r="A2951">
        <v>2950</v>
      </c>
      <c r="B2951" s="7">
        <v>1807945.4272587784</v>
      </c>
      <c r="C2951">
        <f t="shared" si="46"/>
        <v>1</v>
      </c>
    </row>
    <row r="2952" spans="1:3" x14ac:dyDescent="0.3">
      <c r="A2952">
        <v>2951</v>
      </c>
      <c r="B2952" s="7">
        <v>3693415.6360262823</v>
      </c>
      <c r="C2952">
        <f t="shared" si="46"/>
        <v>1</v>
      </c>
    </row>
    <row r="2953" spans="1:3" x14ac:dyDescent="0.3">
      <c r="A2953">
        <v>2952</v>
      </c>
      <c r="B2953" s="7">
        <v>6916027.3537400253</v>
      </c>
      <c r="C2953">
        <f t="shared" si="46"/>
        <v>1</v>
      </c>
    </row>
    <row r="2954" spans="1:3" x14ac:dyDescent="0.3">
      <c r="A2954">
        <v>2953</v>
      </c>
      <c r="B2954" s="7">
        <v>21276609.682133894</v>
      </c>
      <c r="C2954">
        <f t="shared" si="46"/>
        <v>1</v>
      </c>
    </row>
    <row r="2955" spans="1:3" x14ac:dyDescent="0.3">
      <c r="A2955">
        <v>2954</v>
      </c>
      <c r="B2955" s="7">
        <v>7643638.0622119047</v>
      </c>
      <c r="C2955">
        <f t="shared" si="46"/>
        <v>1</v>
      </c>
    </row>
    <row r="2956" spans="1:3" x14ac:dyDescent="0.3">
      <c r="A2956">
        <v>2955</v>
      </c>
      <c r="B2956" s="7">
        <v>1535097.9895208008</v>
      </c>
      <c r="C2956">
        <f t="shared" si="46"/>
        <v>1</v>
      </c>
    </row>
    <row r="2957" spans="1:3" x14ac:dyDescent="0.3">
      <c r="A2957">
        <v>2956</v>
      </c>
      <c r="B2957" s="7">
        <v>4428536.9543784875</v>
      </c>
      <c r="C2957">
        <f t="shared" si="46"/>
        <v>1</v>
      </c>
    </row>
    <row r="2958" spans="1:3" x14ac:dyDescent="0.3">
      <c r="A2958">
        <v>2957</v>
      </c>
      <c r="B2958" s="7">
        <v>4536891.5532464674</v>
      </c>
      <c r="C2958">
        <f t="shared" si="46"/>
        <v>1</v>
      </c>
    </row>
    <row r="2959" spans="1:3" x14ac:dyDescent="0.3">
      <c r="A2959">
        <v>2958</v>
      </c>
      <c r="B2959" s="7">
        <v>6300820.8437643191</v>
      </c>
      <c r="C2959">
        <f t="shared" si="46"/>
        <v>1</v>
      </c>
    </row>
    <row r="2960" spans="1:3" x14ac:dyDescent="0.3">
      <c r="A2960">
        <v>2959</v>
      </c>
      <c r="B2960" s="7">
        <v>5382399.8050077474</v>
      </c>
      <c r="C2960">
        <f t="shared" si="46"/>
        <v>1</v>
      </c>
    </row>
    <row r="2961" spans="1:3" x14ac:dyDescent="0.3">
      <c r="A2961">
        <v>2960</v>
      </c>
      <c r="B2961" s="7">
        <v>5671973.3999837302</v>
      </c>
      <c r="C2961">
        <f t="shared" si="46"/>
        <v>1</v>
      </c>
    </row>
    <row r="2962" spans="1:3" x14ac:dyDescent="0.3">
      <c r="A2962">
        <v>2961</v>
      </c>
      <c r="B2962" s="7">
        <v>3552352.1343416953</v>
      </c>
      <c r="C2962">
        <f t="shared" si="46"/>
        <v>1</v>
      </c>
    </row>
    <row r="2963" spans="1:3" x14ac:dyDescent="0.3">
      <c r="A2963">
        <v>2962</v>
      </c>
      <c r="B2963" s="7">
        <v>15244314.76415047</v>
      </c>
      <c r="C2963">
        <f t="shared" si="46"/>
        <v>1</v>
      </c>
    </row>
    <row r="2964" spans="1:3" x14ac:dyDescent="0.3">
      <c r="A2964">
        <v>2963</v>
      </c>
      <c r="B2964" s="7">
        <v>10777341.173420165</v>
      </c>
      <c r="C2964">
        <f t="shared" si="46"/>
        <v>1</v>
      </c>
    </row>
    <row r="2965" spans="1:3" x14ac:dyDescent="0.3">
      <c r="A2965">
        <v>2964</v>
      </c>
      <c r="B2965" s="7">
        <v>12998032.228759455</v>
      </c>
      <c r="C2965">
        <f t="shared" si="46"/>
        <v>1</v>
      </c>
    </row>
    <row r="2966" spans="1:3" x14ac:dyDescent="0.3">
      <c r="A2966">
        <v>2965</v>
      </c>
      <c r="B2966" s="7">
        <v>2430739.6390909529</v>
      </c>
      <c r="C2966">
        <f t="shared" si="46"/>
        <v>1</v>
      </c>
    </row>
    <row r="2967" spans="1:3" x14ac:dyDescent="0.3">
      <c r="A2967">
        <v>2966</v>
      </c>
      <c r="B2967" s="7">
        <v>2535078.1013940047</v>
      </c>
      <c r="C2967">
        <f t="shared" si="46"/>
        <v>1</v>
      </c>
    </row>
    <row r="2968" spans="1:3" x14ac:dyDescent="0.3">
      <c r="A2968">
        <v>2967</v>
      </c>
      <c r="B2968" s="7">
        <v>17825327.434954338</v>
      </c>
      <c r="C2968">
        <f t="shared" si="46"/>
        <v>1</v>
      </c>
    </row>
    <row r="2969" spans="1:3" x14ac:dyDescent="0.3">
      <c r="A2969">
        <v>2968</v>
      </c>
      <c r="B2969" s="7">
        <v>8373398.4260812402</v>
      </c>
      <c r="C2969">
        <f t="shared" si="46"/>
        <v>1</v>
      </c>
    </row>
    <row r="2970" spans="1:3" x14ac:dyDescent="0.3">
      <c r="A2970">
        <v>2969</v>
      </c>
      <c r="B2970" s="7">
        <v>2161059.7214804157</v>
      </c>
      <c r="C2970">
        <f t="shared" si="46"/>
        <v>1</v>
      </c>
    </row>
    <row r="2971" spans="1:3" x14ac:dyDescent="0.3">
      <c r="A2971">
        <v>2970</v>
      </c>
      <c r="B2971" s="7">
        <v>6999603.112071896</v>
      </c>
      <c r="C2971">
        <f t="shared" si="46"/>
        <v>1</v>
      </c>
    </row>
    <row r="2972" spans="1:3" x14ac:dyDescent="0.3">
      <c r="A2972">
        <v>2971</v>
      </c>
      <c r="B2972" s="7">
        <v>13765717.798973672</v>
      </c>
      <c r="C2972">
        <f t="shared" si="46"/>
        <v>1</v>
      </c>
    </row>
    <row r="2973" spans="1:3" x14ac:dyDescent="0.3">
      <c r="A2973">
        <v>2972</v>
      </c>
      <c r="B2973" s="7">
        <v>11182809.93169231</v>
      </c>
      <c r="C2973">
        <f t="shared" si="46"/>
        <v>1</v>
      </c>
    </row>
    <row r="2974" spans="1:3" x14ac:dyDescent="0.3">
      <c r="A2974">
        <v>2973</v>
      </c>
      <c r="B2974" s="7">
        <v>949836.48250184325</v>
      </c>
      <c r="C2974">
        <f t="shared" si="46"/>
        <v>1</v>
      </c>
    </row>
    <row r="2975" spans="1:3" x14ac:dyDescent="0.3">
      <c r="A2975">
        <v>2974</v>
      </c>
      <c r="B2975" s="7">
        <v>3047145.0400384478</v>
      </c>
      <c r="C2975">
        <f t="shared" si="46"/>
        <v>1</v>
      </c>
    </row>
    <row r="2976" spans="1:3" x14ac:dyDescent="0.3">
      <c r="A2976">
        <v>2975</v>
      </c>
      <c r="B2976" s="7">
        <v>2623284.3679055152</v>
      </c>
      <c r="C2976">
        <f t="shared" si="46"/>
        <v>1</v>
      </c>
    </row>
    <row r="2977" spans="1:3" x14ac:dyDescent="0.3">
      <c r="A2977">
        <v>2976</v>
      </c>
      <c r="B2977" s="7">
        <v>15791616.279263837</v>
      </c>
      <c r="C2977">
        <f t="shared" si="46"/>
        <v>1</v>
      </c>
    </row>
    <row r="2978" spans="1:3" x14ac:dyDescent="0.3">
      <c r="A2978">
        <v>2977</v>
      </c>
      <c r="B2978" s="7">
        <v>3609797.3941898178</v>
      </c>
      <c r="C2978">
        <f t="shared" si="46"/>
        <v>1</v>
      </c>
    </row>
    <row r="2979" spans="1:3" x14ac:dyDescent="0.3">
      <c r="A2979">
        <v>2978</v>
      </c>
      <c r="B2979" s="7">
        <v>5664731.086774487</v>
      </c>
      <c r="C2979">
        <f t="shared" si="46"/>
        <v>1</v>
      </c>
    </row>
    <row r="2980" spans="1:3" x14ac:dyDescent="0.3">
      <c r="A2980">
        <v>2979</v>
      </c>
      <c r="B2980" s="7">
        <v>3916246.3335405705</v>
      </c>
      <c r="C2980">
        <f t="shared" si="46"/>
        <v>1</v>
      </c>
    </row>
    <row r="2981" spans="1:3" x14ac:dyDescent="0.3">
      <c r="A2981">
        <v>2980</v>
      </c>
      <c r="B2981" s="7">
        <v>17420957.27300445</v>
      </c>
      <c r="C2981">
        <f t="shared" si="46"/>
        <v>1</v>
      </c>
    </row>
    <row r="2982" spans="1:3" x14ac:dyDescent="0.3">
      <c r="A2982">
        <v>2981</v>
      </c>
      <c r="B2982" s="7">
        <v>3997970.2686145455</v>
      </c>
      <c r="C2982">
        <f t="shared" si="46"/>
        <v>1</v>
      </c>
    </row>
    <row r="2983" spans="1:3" x14ac:dyDescent="0.3">
      <c r="A2983">
        <v>2982</v>
      </c>
      <c r="B2983" s="7">
        <v>12010350.200745532</v>
      </c>
      <c r="C2983">
        <f t="shared" si="46"/>
        <v>1</v>
      </c>
    </row>
    <row r="2984" spans="1:3" x14ac:dyDescent="0.3">
      <c r="A2984">
        <v>2983</v>
      </c>
      <c r="B2984" s="7">
        <v>3720681.1890652045</v>
      </c>
      <c r="C2984">
        <f t="shared" si="46"/>
        <v>1</v>
      </c>
    </row>
    <row r="2985" spans="1:3" x14ac:dyDescent="0.3">
      <c r="A2985">
        <v>2984</v>
      </c>
      <c r="B2985" s="7">
        <v>4813249.7244660612</v>
      </c>
      <c r="C2985">
        <f t="shared" si="46"/>
        <v>1</v>
      </c>
    </row>
    <row r="2986" spans="1:3" x14ac:dyDescent="0.3">
      <c r="A2986">
        <v>2985</v>
      </c>
      <c r="B2986" s="7">
        <v>9856947.9989162311</v>
      </c>
      <c r="C2986">
        <f t="shared" si="46"/>
        <v>1</v>
      </c>
    </row>
    <row r="2987" spans="1:3" x14ac:dyDescent="0.3">
      <c r="A2987">
        <v>2986</v>
      </c>
      <c r="B2987" s="7">
        <v>26713961.749041952</v>
      </c>
      <c r="C2987">
        <f t="shared" si="46"/>
        <v>1</v>
      </c>
    </row>
    <row r="2988" spans="1:3" x14ac:dyDescent="0.3">
      <c r="A2988">
        <v>2987</v>
      </c>
      <c r="B2988" s="7">
        <v>3126326.8102130531</v>
      </c>
      <c r="C2988">
        <f t="shared" si="46"/>
        <v>1</v>
      </c>
    </row>
    <row r="2989" spans="1:3" x14ac:dyDescent="0.3">
      <c r="A2989">
        <v>2988</v>
      </c>
      <c r="B2989" s="7">
        <v>5397326.9617553772</v>
      </c>
      <c r="C2989">
        <f t="shared" si="46"/>
        <v>1</v>
      </c>
    </row>
    <row r="2990" spans="1:3" x14ac:dyDescent="0.3">
      <c r="A2990">
        <v>2989</v>
      </c>
      <c r="B2990" s="7">
        <v>5685292.5020313477</v>
      </c>
      <c r="C2990">
        <f t="shared" si="46"/>
        <v>1</v>
      </c>
    </row>
    <row r="2991" spans="1:3" x14ac:dyDescent="0.3">
      <c r="A2991">
        <v>2990</v>
      </c>
      <c r="B2991" s="7">
        <v>1820381.2981773994</v>
      </c>
      <c r="C2991">
        <f t="shared" si="46"/>
        <v>1</v>
      </c>
    </row>
    <row r="2992" spans="1:3" x14ac:dyDescent="0.3">
      <c r="A2992">
        <v>2991</v>
      </c>
      <c r="B2992" s="7">
        <v>12358591.541866155</v>
      </c>
      <c r="C2992">
        <f t="shared" si="46"/>
        <v>1</v>
      </c>
    </row>
    <row r="2993" spans="1:3" x14ac:dyDescent="0.3">
      <c r="A2993">
        <v>2992</v>
      </c>
      <c r="B2993" s="7">
        <v>9838455.21650506</v>
      </c>
      <c r="C2993">
        <f t="shared" si="46"/>
        <v>1</v>
      </c>
    </row>
    <row r="2994" spans="1:3" x14ac:dyDescent="0.3">
      <c r="A2994">
        <v>2993</v>
      </c>
      <c r="B2994" s="7">
        <v>33031698.187706482</v>
      </c>
      <c r="C2994">
        <f t="shared" si="46"/>
        <v>1</v>
      </c>
    </row>
    <row r="2995" spans="1:3" x14ac:dyDescent="0.3">
      <c r="A2995">
        <v>2994</v>
      </c>
      <c r="B2995" s="7">
        <v>2773234.9846997224</v>
      </c>
      <c r="C2995">
        <f t="shared" si="46"/>
        <v>1</v>
      </c>
    </row>
    <row r="2996" spans="1:3" x14ac:dyDescent="0.3">
      <c r="A2996">
        <v>2995</v>
      </c>
      <c r="B2996" s="7">
        <v>6784801.9620339293</v>
      </c>
      <c r="C2996">
        <f t="shared" si="46"/>
        <v>1</v>
      </c>
    </row>
    <row r="2997" spans="1:3" x14ac:dyDescent="0.3">
      <c r="A2997">
        <v>2996</v>
      </c>
      <c r="B2997" s="7">
        <v>7706358.9514225591</v>
      </c>
      <c r="C2997">
        <f t="shared" si="46"/>
        <v>1</v>
      </c>
    </row>
    <row r="2998" spans="1:3" x14ac:dyDescent="0.3">
      <c r="A2998">
        <v>2997</v>
      </c>
      <c r="B2998" s="7">
        <v>2949391.6206324482</v>
      </c>
      <c r="C2998">
        <f t="shared" si="46"/>
        <v>1</v>
      </c>
    </row>
    <row r="2999" spans="1:3" x14ac:dyDescent="0.3">
      <c r="A2999">
        <v>2998</v>
      </c>
      <c r="B2999" s="7">
        <v>4066599.9730229368</v>
      </c>
      <c r="C2999">
        <f t="shared" si="46"/>
        <v>1</v>
      </c>
    </row>
    <row r="3000" spans="1:3" x14ac:dyDescent="0.3">
      <c r="A3000">
        <v>2999</v>
      </c>
      <c r="B3000" s="7">
        <v>10217485.880819241</v>
      </c>
      <c r="C3000">
        <f t="shared" si="46"/>
        <v>1</v>
      </c>
    </row>
    <row r="3001" spans="1:3" x14ac:dyDescent="0.3">
      <c r="A3001">
        <v>3000</v>
      </c>
      <c r="B3001" s="7">
        <v>3870968.3391299094</v>
      </c>
      <c r="C3001">
        <f t="shared" si="46"/>
        <v>1</v>
      </c>
    </row>
  </sheetData>
  <conditionalFormatting sqref="C2:C3001">
    <cfRule type="cellIs" dxfId="1" priority="1" operator="equal">
      <formula>1</formula>
    </cfRule>
    <cfRule type="cellIs" dxfId="0" priority="2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Historical</vt:lpstr>
      <vt:lpstr>Control</vt:lpstr>
      <vt:lpstr>r1</vt:lpstr>
      <vt:lpstr>Simulations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Nisar, MuhammadHashir</dc:creator>
  <cp:lastModifiedBy>NISAR Muhammad Hashir</cp:lastModifiedBy>
  <dcterms:created xsi:type="dcterms:W3CDTF">2025-08-01T07:55:45Z</dcterms:created>
  <dcterms:modified xsi:type="dcterms:W3CDTF">2025-09-10T04:40:20Z</dcterms:modified>
</cp:coreProperties>
</file>